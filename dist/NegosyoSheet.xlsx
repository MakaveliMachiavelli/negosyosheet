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SALES LOG" sheetId="4" state="visible" r:id="rId4"/>
    <sheet xmlns:r="http://schemas.openxmlformats.org/officeDocument/2006/relationships" name="UTANG" sheetId="5" state="visible" r:id="rId5"/>
    <sheet xmlns:r="http://schemas.openxmlformats.org/officeDocument/2006/relationships" name="EXPENSES" sheetId="6" state="visible" r:id="rId6"/>
  </sheets>
  <definedNames>
    <definedName name="_xlnm._FilterDatabase" localSheetId="2" hidden="1">'INVENTORY'!$A$1:$J$201</definedName>
    <definedName name="_xlnm._FilterDatabase" localSheetId="3" hidden="1">'SALES LOG'!$A$1:$G$201</definedName>
    <definedName name="_xlnm._FilterDatabase" localSheetId="4" hidden="1">'UTANG'!$A$1:$H$201</definedName>
    <definedName name="_xlnm._FilterDatabase" localSheetId="5" hidden="1">'EXPENSES'!$A$1:$D$201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b val="1"/>
      <color rgb="00101828"/>
      <sz val="16"/>
    </font>
    <font>
      <color rgb="00667085"/>
      <sz val="12"/>
    </font>
    <font>
      <b val="1"/>
      <color rgb="00101828"/>
      <sz val="12"/>
    </font>
    <font>
      <sz val="11"/>
    </font>
    <font>
      <color rgb="00667085"/>
      <sz val="9"/>
    </font>
    <font>
      <b val="1"/>
      <color rgb="00FFFFFF"/>
      <sz val="11"/>
    </font>
    <font>
      <color rgb="00667085"/>
      <sz val="10"/>
    </font>
    <font>
      <b val="1"/>
      <color rgb="00667085"/>
      <sz val="11"/>
    </font>
    <font>
      <b val="1"/>
      <color rgb="00101828"/>
      <sz val="18"/>
    </font>
    <font>
      <b val="1"/>
      <sz val="11"/>
    </font>
    <font>
      <b val="1"/>
      <color rgb="00667085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0B5FFF"/>
      </patternFill>
    </fill>
    <fill>
      <patternFill patternType="solid">
        <fgColor rgb="00F6F8FB"/>
      </patternFill>
    </fill>
    <fill>
      <patternFill patternType="solid">
        <fgColor rgb="00FEF7E6"/>
      </patternFill>
    </fill>
  </fills>
  <borders count="2">
    <border>
      <left/>
      <right/>
      <top/>
      <bottom/>
      <diagonal/>
    </border>
    <border>
      <left style="thin">
        <color rgb="00E4E7EC"/>
      </left>
      <right style="thin">
        <color rgb="00E4E7EC"/>
      </right>
      <top style="thin">
        <color rgb="00E4E7EC"/>
      </top>
      <bottom style="thin">
        <color rgb="00E4E7E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0" fillId="3" borderId="0" pivotButton="0" quotePrefix="0" xfId="0"/>
    <xf numFmtId="4" fontId="9" fillId="3" borderId="0" pivotButton="0" quotePrefix="0" xfId="0"/>
    <xf numFmtId="0" fontId="8" fillId="4" borderId="0" pivotButton="0" quotePrefix="0" xfId="0"/>
    <xf numFmtId="0" fontId="0" fillId="4" borderId="0" pivotButton="0" quotePrefix="0" xfId="0"/>
    <xf numFmtId="1" fontId="9" fillId="4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4" fontId="12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DC2626"/>
      </font>
      <fill>
        <patternFill patternType="solid">
          <fgColor rgb="00FEE2E2"/>
        </patternFill>
      </fill>
    </dxf>
    <dxf>
      <font>
        <color rgb="00067A53"/>
      </font>
      <fill>
        <patternFill patternType="solid">
          <fgColor rgb="00D1F0E1"/>
        </patternFill>
      </fill>
    </dxf>
    <dxf>
      <font>
        <b val="1"/>
        <color rgb="00DC262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4" customWidth="1" min="4" max="4"/>
    <col width="30" customWidth="1" min="5" max="5"/>
    <col width="18" customWidth="1" min="6" max="6"/>
    <col width="4" customWidth="1" min="7" max="7"/>
  </cols>
  <sheetData>
    <row r="2">
      <c r="B2" s="1" t="inlineStr">
        <is>
          <t>📊 DASHBOARD</t>
        </is>
      </c>
    </row>
    <row r="3">
      <c r="B3" s="2" t="inlineStr">
        <is>
          <t>Auto-compute lahat — wag i-edit ang mga numbers dito</t>
        </is>
      </c>
    </row>
    <row r="5">
      <c r="B5" s="3" t="inlineStr">
        <is>
          <t>TOTAL SALES (₱)</t>
        </is>
      </c>
      <c r="C5" s="4" t="n"/>
      <c r="E5" s="3" t="inlineStr">
        <is>
          <t>TOTAL GROSS PROFIT (₱)</t>
        </is>
      </c>
      <c r="F5" s="4" t="n"/>
    </row>
    <row r="6">
      <c r="B6" s="5">
        <f>SUM('SALES LOG'!E2:E201)</f>
        <v/>
      </c>
      <c r="C6" s="4" t="n"/>
      <c r="E6" s="5">
        <f>SUM('SALES LOG'!G2:G201)</f>
        <v/>
      </c>
      <c r="F6" s="4" t="n"/>
    </row>
    <row r="8">
      <c r="B8" s="3" t="inlineStr">
        <is>
          <t>TOTAL EXPENSES (₱)</t>
        </is>
      </c>
      <c r="C8" s="4" t="n"/>
      <c r="E8" s="3" t="inlineStr">
        <is>
          <t>NET (profit − expenses) (₱)</t>
        </is>
      </c>
      <c r="F8" s="4" t="n"/>
    </row>
    <row r="9">
      <c r="B9" s="5">
        <f>SUM(EXPENSES!D2:D201)</f>
        <v/>
      </c>
      <c r="C9" s="4" t="n"/>
      <c r="E9" s="5">
        <f>SUM('SALES LOG'!G2:G201)-SUM(EXPENSES!D2:D201)</f>
        <v/>
      </c>
      <c r="F9" s="4" t="n"/>
    </row>
    <row r="11">
      <c r="B11" s="3" t="inlineStr">
        <is>
          <t>INVENTORY VALUE (₱)</t>
        </is>
      </c>
      <c r="C11" s="4" t="n"/>
      <c r="E11" s="3" t="inlineStr">
        <is>
          <t>UTANG NA HINDI PAID (₱)</t>
        </is>
      </c>
      <c r="F11" s="4" t="n"/>
    </row>
    <row r="12">
      <c r="B12" s="5">
        <f>SUM(INVENTORY!H2:H201)</f>
        <v/>
      </c>
      <c r="C12" s="4" t="n"/>
      <c r="E12" s="5">
        <f>SUMIFS(UTANG!D2:D201,UTANG!F2:F201,"&lt;&gt;Yes",UTANG!A2:A201,"&lt;&gt;")</f>
        <v/>
      </c>
      <c r="F12" s="4" t="n"/>
    </row>
    <row r="14">
      <c r="B14" s="6" t="inlineStr">
        <is>
          <t>ITEMS NA REORDER NA</t>
        </is>
      </c>
      <c r="C14" s="7" t="n"/>
      <c r="E14" s="6" t="inlineStr">
        <is>
          <t>MGA UTANG NA LATE</t>
        </is>
      </c>
      <c r="F14" s="7" t="n"/>
    </row>
    <row r="15">
      <c r="B15" s="8">
        <f>COUNTIF(INVENTORY!J2:J201,"⚠️ REORDER NA!")</f>
        <v/>
      </c>
      <c r="C15" s="7" t="n"/>
      <c r="E15" s="8">
        <f>COUNTIF(UTANG!H2:H201,"🔴 KULIKAHIN NA!")</f>
        <v/>
      </c>
      <c r="F15" s="7" t="n"/>
    </row>
    <row r="17">
      <c r="B17" s="9" t="inlineStr">
        <is>
          <t>TOTAL PER ITEM (sales):</t>
        </is>
      </c>
      <c r="E17" s="9" t="inlineStr">
        <is>
          <t>TOP BUYERS (utang):</t>
        </is>
      </c>
    </row>
    <row r="18">
      <c r="B18" s="10" t="inlineStr">
        <is>
          <t>Item</t>
        </is>
      </c>
      <c r="C18" s="10" t="inlineStr">
        <is>
          <t>Sales (₱)</t>
        </is>
      </c>
    </row>
    <row r="19">
      <c r="B19" s="11">
        <f>IF(INVENTORY!A2="","",INVENTORY!A2)</f>
        <v/>
      </c>
      <c r="C19" s="12">
        <f>IF(INVENTORY!A2="","",SUMIF('SALES LOG'!B:B,INVENTORY!A2,'SALES LOG'!E:E))</f>
        <v/>
      </c>
    </row>
    <row r="20">
      <c r="B20" s="11">
        <f>IF(INVENTORY!A3="","",INVENTORY!A3)</f>
        <v/>
      </c>
      <c r="C20" s="12">
        <f>IF(INVENTORY!A3="","",SUMIF('SALES LOG'!B:B,INVENTORY!A3,'SALES LOG'!E:E))</f>
        <v/>
      </c>
    </row>
    <row r="21">
      <c r="B21" s="11">
        <f>IF(INVENTORY!A4="","",INVENTORY!A4)</f>
        <v/>
      </c>
      <c r="C21" s="12">
        <f>IF(INVENTORY!A4="","",SUMIF('SALES LOG'!B:B,INVENTORY!A4,'SALES LOG'!E:E))</f>
        <v/>
      </c>
    </row>
    <row r="22">
      <c r="B22" s="11">
        <f>IF(INVENTORY!A5="","",INVENTORY!A5)</f>
        <v/>
      </c>
      <c r="C22" s="12">
        <f>IF(INVENTORY!A5="","",SUMIF('SALES LOG'!B:B,INVENTORY!A5,'SALES LOG'!E:E))</f>
        <v/>
      </c>
    </row>
    <row r="23">
      <c r="B23" s="11">
        <f>IF(INVENTORY!A6="","",INVENTORY!A6)</f>
        <v/>
      </c>
      <c r="C23" s="12">
        <f>IF(INVENTORY!A6="","",SUMIF('SALES LOG'!B:B,INVENTORY!A6,'SALES LOG'!E:E))</f>
        <v/>
      </c>
    </row>
    <row r="24">
      <c r="B24" s="11">
        <f>IF(INVENTORY!A7="","",INVENTORY!A7)</f>
        <v/>
      </c>
      <c r="C24" s="12">
        <f>IF(INVENTORY!A7="","",SUMIF('SALES LOG'!B:B,INVENTORY!A7,'SALES LOG'!E:E))</f>
        <v/>
      </c>
    </row>
    <row r="25">
      <c r="B25" s="11">
        <f>IF(INVENTORY!A8="","",INVENTORY!A8)</f>
        <v/>
      </c>
      <c r="C25" s="12">
        <f>IF(INVENTORY!A8="","",SUMIF('SALES LOG'!B:B,INVENTORY!A8,'SALES LOG'!E:E))</f>
        <v/>
      </c>
    </row>
    <row r="26">
      <c r="B26" s="11">
        <f>IF(INVENTORY!A9="","",INVENTORY!A9)</f>
        <v/>
      </c>
      <c r="C26" s="12">
        <f>IF(INVENTORY!A9="","",SUMIF('SALES LOG'!B:B,INVENTORY!A9,'SALES LOG'!E:E))</f>
        <v/>
      </c>
    </row>
    <row r="27">
      <c r="B27" s="11">
        <f>IF(INVENTORY!A10="","",INVENTORY!A10)</f>
        <v/>
      </c>
      <c r="C27" s="12">
        <f>IF(INVENTORY!A10="","",SUMIF('SALES LOG'!B:B,INVENTORY!A10,'SALES LOG'!E:E))</f>
        <v/>
      </c>
    </row>
    <row r="28">
      <c r="B28" s="11">
        <f>IF(INVENTORY!A11="","",INVENTORY!A11)</f>
        <v/>
      </c>
      <c r="C28" s="12">
        <f>IF(INVENTORY!A11="","",SUMIF('SALES LOG'!B:B,INVENTORY!A11,'SALES LOG'!E:E))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NEGOSYOSHEET — Inventory, Utang at Profit Tracker</t>
        </is>
      </c>
    </row>
    <row r="3">
      <c r="B3" s="13" t="inlineStr">
        <is>
          <t>Para sa sari-sari store, online reseller, at maliliit na negosyo</t>
        </is>
      </c>
    </row>
    <row r="4">
      <c r="B4" t="inlineStr"/>
    </row>
    <row r="5">
      <c r="B5" s="14" t="inlineStr">
        <is>
          <t>PAANO GAMITIN (3 steps lang):</t>
        </is>
      </c>
    </row>
    <row r="6">
      <c r="B6" s="15" t="inlineStr">
        <is>
          <t>1. I-fill ang INVENTORY sheet — item name, cost, selling price, stock-in, at reorder point.</t>
        </is>
      </c>
    </row>
    <row r="7">
      <c r="B7" s="15" t="inlineStr">
        <is>
          <t>2. I-log ang bawat benta sa SALES LOG (may dropdown na item list, auto-compute ang profit).</t>
        </is>
      </c>
    </row>
    <row r="8">
      <c r="B8" s="15" t="inlineStr">
        <is>
          <t>3. I-log ang utang sa UTANG at mga gastos sa EXPENSES. Watch ang DASHBOARD — lahat nandoon.</t>
        </is>
      </c>
    </row>
    <row r="9">
      <c r="B9" t="inlineStr"/>
    </row>
    <row r="10">
      <c r="B10" s="14" t="inlineStr">
        <is>
          <t>MGA SHEET:</t>
        </is>
      </c>
    </row>
    <row r="11">
      <c r="B11" s="15" t="inlineStr">
        <is>
          <t>• DASHBOARD — total sales, profit, inventory value, utang, at reorder alerts. Dito ang summary.</t>
        </is>
      </c>
    </row>
    <row r="12">
      <c r="B12" s="15" t="inlineStr">
        <is>
          <t>• INVENTORY — listahan ng items. Auto-compute: current stock, stock value, REORDER NA alert.</t>
        </is>
      </c>
    </row>
    <row r="13">
      <c r="B13" s="15" t="inlineStr">
        <is>
          <t>• SALES LOG — bawat sale. Auto: unit price (galing Inventory), total, cost, profit.</t>
        </is>
      </c>
    </row>
    <row r="14">
      <c r="B14" s="15" t="inlineStr">
        <is>
          <t>• UTANG — listahan ng mga utang. Auto: days overdue at KULIKAHIN NA! alert.</t>
        </is>
      </c>
    </row>
    <row r="15">
      <c r="B15" s="15" t="inlineStr">
        <is>
          <t>• EXPENSES — kuryente, upa, load, at iba. Ibaon sa DASHBOARD computation.</t>
        </is>
      </c>
    </row>
    <row r="16">
      <c r="B16" t="inlineStr"/>
    </row>
    <row r="17">
      <c r="B17" s="14" t="inlineStr">
        <is>
          <t>IMPORTANTE:</t>
        </is>
      </c>
    </row>
    <row r="18">
      <c r="B18" s="15" t="inlineStr">
        <is>
          <t>• Wag i-edit ang mga may formula (kulay grey). Type lang sa white cells.</t>
        </is>
      </c>
    </row>
    <row r="19">
      <c r="B19" s="15" t="inlineStr">
        <is>
          <t>• Gumagana sa Excel at Google Sheets (i-upload lang sa Drive → Open with Google Sheets).</t>
        </is>
      </c>
    </row>
    <row r="20">
      <c r="B20" s="15" t="inlineStr">
        <is>
          <t>• Ang profit sa SALES LOG = total benta − cost ng items. Ang NET sa DASHBOARD = profit − expenses.</t>
        </is>
      </c>
    </row>
    <row r="21">
      <c r="B21" t="inlineStr"/>
    </row>
    <row r="22">
      <c r="B22" s="16" t="inlineStr">
        <is>
          <t>NegosyoSheet v1.0 · 2026-08-22 · Support: check README sa page where you downloaded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6" customWidth="1" min="4" max="4"/>
    <col width="10" customWidth="1" min="5" max="5"/>
    <col width="11" customWidth="1" min="6" max="6"/>
    <col width="13" customWidth="1" min="7" max="7"/>
    <col width="15" customWidth="1" min="8" max="8"/>
    <col width="13" customWidth="1" min="9" max="9"/>
    <col width="16" customWidth="1" min="10" max="10"/>
  </cols>
  <sheetData>
    <row r="1">
      <c r="A1" s="17" t="inlineStr">
        <is>
          <t>Item Name</t>
        </is>
      </c>
      <c r="B1" s="17" t="inlineStr">
        <is>
          <t>Unit</t>
        </is>
      </c>
      <c r="C1" s="17" t="inlineStr">
        <is>
          <t>Cost (₱)</t>
        </is>
      </c>
      <c r="D1" s="17" t="inlineStr">
        <is>
          <t>Selling Price (₱)</t>
        </is>
      </c>
      <c r="E1" s="17" t="inlineStr">
        <is>
          <t>Stock In</t>
        </is>
      </c>
      <c r="F1" s="17" t="inlineStr">
        <is>
          <t>Stock Out</t>
        </is>
      </c>
      <c r="G1" s="17" t="inlineStr">
        <is>
          <t>Current Stock</t>
        </is>
      </c>
      <c r="H1" s="17" t="inlineStr">
        <is>
          <t>Stock Value (₱)</t>
        </is>
      </c>
      <c r="I1" s="17" t="inlineStr">
        <is>
          <t>Reorder Point</t>
        </is>
      </c>
      <c r="J1" s="17" t="inlineStr">
        <is>
          <t>Status</t>
        </is>
      </c>
    </row>
    <row r="2">
      <c r="A2" s="18" t="inlineStr">
        <is>
          <t>Noka Noodles</t>
        </is>
      </c>
      <c r="B2" s="18" t="inlineStr">
        <is>
          <t>pc</t>
        </is>
      </c>
      <c r="C2" s="19" t="n">
        <v>12</v>
      </c>
      <c r="D2" s="19" t="n">
        <v>18</v>
      </c>
      <c r="E2" s="18" t="n">
        <v>48</v>
      </c>
      <c r="F2" s="18" t="n">
        <v>12</v>
      </c>
      <c r="G2" s="18">
        <f>IF(A2="","",E2-F2)</f>
        <v/>
      </c>
      <c r="H2" s="19">
        <f>IF(A2="","",G2*C2)</f>
        <v/>
      </c>
      <c r="I2" s="18" t="n"/>
      <c r="J2" s="18">
        <f>IF(A2="","",IF(G2&lt;=I2,"⚠️ REORDER NA!","OK"))</f>
        <v/>
      </c>
    </row>
    <row r="3">
      <c r="A3" s="18" t="inlineStr">
        <is>
          <t>Softdrinks 1L</t>
        </is>
      </c>
      <c r="B3" s="18" t="inlineStr">
        <is>
          <t>btl</t>
        </is>
      </c>
      <c r="C3" s="19" t="n">
        <v>68</v>
      </c>
      <c r="D3" s="19" t="n">
        <v>90</v>
      </c>
      <c r="E3" s="18" t="n">
        <v>24</v>
      </c>
      <c r="F3" s="18" t="n">
        <v>5</v>
      </c>
      <c r="G3" s="18">
        <f>IF(A3="","",E3-F3)</f>
        <v/>
      </c>
      <c r="H3" s="19">
        <f>IF(A3="","",G3*C3)</f>
        <v/>
      </c>
      <c r="I3" s="18" t="n"/>
      <c r="J3" s="18">
        <f>IF(A3="","",IF(G3&lt;=I3,"⚠️ REORDER NA!","OK"))</f>
        <v/>
      </c>
    </row>
    <row r="4">
      <c r="A4" s="18" t="inlineStr">
        <is>
          <t>Sabon 60g</t>
        </is>
      </c>
      <c r="B4" s="18" t="inlineStr">
        <is>
          <t>pc</t>
        </is>
      </c>
      <c r="C4" s="19" t="n">
        <v>22</v>
      </c>
      <c r="D4" s="19" t="n">
        <v>35</v>
      </c>
      <c r="E4" s="18" t="n">
        <v>30</v>
      </c>
      <c r="F4" s="18" t="n">
        <v>8</v>
      </c>
      <c r="G4" s="18">
        <f>IF(A4="","",E4-F4)</f>
        <v/>
      </c>
      <c r="H4" s="19">
        <f>IF(A4="","",G4*C4)</f>
        <v/>
      </c>
      <c r="I4" s="18" t="n"/>
      <c r="J4" s="18">
        <f>IF(A4="","",IF(G4&lt;=I4,"⚠️ REORDER NA!","OK"))</f>
        <v/>
      </c>
    </row>
    <row r="5">
      <c r="A5" s="18" t="n"/>
      <c r="B5" s="18" t="n"/>
      <c r="C5" s="19" t="n"/>
      <c r="D5" s="19" t="n"/>
      <c r="E5" s="18" t="n"/>
      <c r="F5" s="18" t="n"/>
      <c r="G5" s="18">
        <f>IF(A5="","",E5-F5)</f>
        <v/>
      </c>
      <c r="H5" s="19">
        <f>IF(A5="","",G5*C5)</f>
        <v/>
      </c>
      <c r="I5" s="18" t="n"/>
      <c r="J5" s="18">
        <f>IF(A5="","",IF(G5&lt;=I5,"⚠️ REORDER NA!","OK"))</f>
        <v/>
      </c>
    </row>
    <row r="6">
      <c r="A6" s="18" t="n"/>
      <c r="B6" s="18" t="n"/>
      <c r="C6" s="19" t="n"/>
      <c r="D6" s="19" t="n"/>
      <c r="E6" s="18" t="n"/>
      <c r="F6" s="18" t="n"/>
      <c r="G6" s="18">
        <f>IF(A6="","",E6-F6)</f>
        <v/>
      </c>
      <c r="H6" s="19">
        <f>IF(A6="","",G6*C6)</f>
        <v/>
      </c>
      <c r="I6" s="18" t="n"/>
      <c r="J6" s="18">
        <f>IF(A6="","",IF(G6&lt;=I6,"⚠️ REORDER NA!","OK"))</f>
        <v/>
      </c>
    </row>
    <row r="7">
      <c r="A7" s="18" t="n"/>
      <c r="B7" s="18" t="n"/>
      <c r="C7" s="19" t="n"/>
      <c r="D7" s="19" t="n"/>
      <c r="E7" s="18" t="n"/>
      <c r="F7" s="18" t="n"/>
      <c r="G7" s="18">
        <f>IF(A7="","",E7-F7)</f>
        <v/>
      </c>
      <c r="H7" s="19">
        <f>IF(A7="","",G7*C7)</f>
        <v/>
      </c>
      <c r="I7" s="18" t="n"/>
      <c r="J7" s="18">
        <f>IF(A7="","",IF(G7&lt;=I7,"⚠️ REORDER NA!","OK"))</f>
        <v/>
      </c>
    </row>
    <row r="8">
      <c r="A8" s="18" t="n"/>
      <c r="B8" s="18" t="n"/>
      <c r="C8" s="19" t="n"/>
      <c r="D8" s="19" t="n"/>
      <c r="E8" s="18" t="n"/>
      <c r="F8" s="18" t="n"/>
      <c r="G8" s="18">
        <f>IF(A8="","",E8-F8)</f>
        <v/>
      </c>
      <c r="H8" s="19">
        <f>IF(A8="","",G8*C8)</f>
        <v/>
      </c>
      <c r="I8" s="18" t="n"/>
      <c r="J8" s="18">
        <f>IF(A8="","",IF(G8&lt;=I8,"⚠️ REORDER NA!","OK"))</f>
        <v/>
      </c>
    </row>
    <row r="9">
      <c r="A9" s="18" t="n"/>
      <c r="B9" s="18" t="n"/>
      <c r="C9" s="19" t="n"/>
      <c r="D9" s="19" t="n"/>
      <c r="E9" s="18" t="n"/>
      <c r="F9" s="18" t="n"/>
      <c r="G9" s="18">
        <f>IF(A9="","",E9-F9)</f>
        <v/>
      </c>
      <c r="H9" s="19">
        <f>IF(A9="","",G9*C9)</f>
        <v/>
      </c>
      <c r="I9" s="18" t="n"/>
      <c r="J9" s="18">
        <f>IF(A9="","",IF(G9&lt;=I9,"⚠️ REORDER NA!","OK"))</f>
        <v/>
      </c>
    </row>
    <row r="10">
      <c r="A10" s="18" t="n"/>
      <c r="B10" s="18" t="n"/>
      <c r="C10" s="19" t="n"/>
      <c r="D10" s="19" t="n"/>
      <c r="E10" s="18" t="n"/>
      <c r="F10" s="18" t="n"/>
      <c r="G10" s="18">
        <f>IF(A10="","",E10-F10)</f>
        <v/>
      </c>
      <c r="H10" s="19">
        <f>IF(A10="","",G10*C10)</f>
        <v/>
      </c>
      <c r="I10" s="18" t="n"/>
      <c r="J10" s="18">
        <f>IF(A10="","",IF(G10&lt;=I10,"⚠️ REORDER NA!","OK"))</f>
        <v/>
      </c>
    </row>
    <row r="11">
      <c r="A11" s="18" t="n"/>
      <c r="B11" s="18" t="n"/>
      <c r="C11" s="19" t="n"/>
      <c r="D11" s="19" t="n"/>
      <c r="E11" s="18" t="n"/>
      <c r="F11" s="18" t="n"/>
      <c r="G11" s="18">
        <f>IF(A11="","",E11-F11)</f>
        <v/>
      </c>
      <c r="H11" s="19">
        <f>IF(A11="","",G11*C11)</f>
        <v/>
      </c>
      <c r="I11" s="18" t="n"/>
      <c r="J11" s="18">
        <f>IF(A11="","",IF(G11&lt;=I11,"⚠️ REORDER NA!","OK"))</f>
        <v/>
      </c>
    </row>
    <row r="12">
      <c r="A12" s="18" t="n"/>
      <c r="B12" s="18" t="n"/>
      <c r="C12" s="19" t="n"/>
      <c r="D12" s="19" t="n"/>
      <c r="E12" s="18" t="n"/>
      <c r="F12" s="18" t="n"/>
      <c r="G12" s="18">
        <f>IF(A12="","",E12-F12)</f>
        <v/>
      </c>
      <c r="H12" s="19">
        <f>IF(A12="","",G12*C12)</f>
        <v/>
      </c>
      <c r="I12" s="18" t="n"/>
      <c r="J12" s="18">
        <f>IF(A12="","",IF(G12&lt;=I12,"⚠️ REORDER NA!","OK"))</f>
        <v/>
      </c>
    </row>
    <row r="13">
      <c r="A13" s="18" t="n"/>
      <c r="B13" s="18" t="n"/>
      <c r="C13" s="19" t="n"/>
      <c r="D13" s="19" t="n"/>
      <c r="E13" s="18" t="n"/>
      <c r="F13" s="18" t="n"/>
      <c r="G13" s="18">
        <f>IF(A13="","",E13-F13)</f>
        <v/>
      </c>
      <c r="H13" s="19">
        <f>IF(A13="","",G13*C13)</f>
        <v/>
      </c>
      <c r="I13" s="18" t="n"/>
      <c r="J13" s="18">
        <f>IF(A13="","",IF(G13&lt;=I13,"⚠️ REORDER NA!","OK"))</f>
        <v/>
      </c>
    </row>
    <row r="14">
      <c r="A14" s="18" t="n"/>
      <c r="B14" s="18" t="n"/>
      <c r="C14" s="19" t="n"/>
      <c r="D14" s="19" t="n"/>
      <c r="E14" s="18" t="n"/>
      <c r="F14" s="18" t="n"/>
      <c r="G14" s="18">
        <f>IF(A14="","",E14-F14)</f>
        <v/>
      </c>
      <c r="H14" s="19">
        <f>IF(A14="","",G14*C14)</f>
        <v/>
      </c>
      <c r="I14" s="18" t="n"/>
      <c r="J14" s="18">
        <f>IF(A14="","",IF(G14&lt;=I14,"⚠️ REORDER NA!","OK"))</f>
        <v/>
      </c>
    </row>
    <row r="15">
      <c r="A15" s="18" t="n"/>
      <c r="B15" s="18" t="n"/>
      <c r="C15" s="19" t="n"/>
      <c r="D15" s="19" t="n"/>
      <c r="E15" s="18" t="n"/>
      <c r="F15" s="18" t="n"/>
      <c r="G15" s="18">
        <f>IF(A15="","",E15-F15)</f>
        <v/>
      </c>
      <c r="H15" s="19">
        <f>IF(A15="","",G15*C15)</f>
        <v/>
      </c>
      <c r="I15" s="18" t="n"/>
      <c r="J15" s="18">
        <f>IF(A15="","",IF(G15&lt;=I15,"⚠️ REORDER NA!","OK"))</f>
        <v/>
      </c>
    </row>
    <row r="16">
      <c r="A16" s="18" t="n"/>
      <c r="B16" s="18" t="n"/>
      <c r="C16" s="19" t="n"/>
      <c r="D16" s="19" t="n"/>
      <c r="E16" s="18" t="n"/>
      <c r="F16" s="18" t="n"/>
      <c r="G16" s="18">
        <f>IF(A16="","",E16-F16)</f>
        <v/>
      </c>
      <c r="H16" s="19">
        <f>IF(A16="","",G16*C16)</f>
        <v/>
      </c>
      <c r="I16" s="18" t="n"/>
      <c r="J16" s="18">
        <f>IF(A16="","",IF(G16&lt;=I16,"⚠️ REORDER NA!","OK"))</f>
        <v/>
      </c>
    </row>
    <row r="17">
      <c r="A17" s="18" t="n"/>
      <c r="B17" s="18" t="n"/>
      <c r="C17" s="19" t="n"/>
      <c r="D17" s="19" t="n"/>
      <c r="E17" s="18" t="n"/>
      <c r="F17" s="18" t="n"/>
      <c r="G17" s="18">
        <f>IF(A17="","",E17-F17)</f>
        <v/>
      </c>
      <c r="H17" s="19">
        <f>IF(A17="","",G17*C17)</f>
        <v/>
      </c>
      <c r="I17" s="18" t="n"/>
      <c r="J17" s="18">
        <f>IF(A17="","",IF(G17&lt;=I17,"⚠️ REORDER NA!","OK"))</f>
        <v/>
      </c>
    </row>
    <row r="18">
      <c r="A18" s="18" t="n"/>
      <c r="B18" s="18" t="n"/>
      <c r="C18" s="19" t="n"/>
      <c r="D18" s="19" t="n"/>
      <c r="E18" s="18" t="n"/>
      <c r="F18" s="18" t="n"/>
      <c r="G18" s="18">
        <f>IF(A18="","",E18-F18)</f>
        <v/>
      </c>
      <c r="H18" s="19">
        <f>IF(A18="","",G18*C18)</f>
        <v/>
      </c>
      <c r="I18" s="18" t="n"/>
      <c r="J18" s="18">
        <f>IF(A18="","",IF(G18&lt;=I18,"⚠️ REORDER NA!","OK"))</f>
        <v/>
      </c>
    </row>
    <row r="19">
      <c r="A19" s="18" t="n"/>
      <c r="B19" s="18" t="n"/>
      <c r="C19" s="19" t="n"/>
      <c r="D19" s="19" t="n"/>
      <c r="E19" s="18" t="n"/>
      <c r="F19" s="18" t="n"/>
      <c r="G19" s="18">
        <f>IF(A19="","",E19-F19)</f>
        <v/>
      </c>
      <c r="H19" s="19">
        <f>IF(A19="","",G19*C19)</f>
        <v/>
      </c>
      <c r="I19" s="18" t="n"/>
      <c r="J19" s="18">
        <f>IF(A19="","",IF(G19&lt;=I19,"⚠️ REORDER NA!","OK"))</f>
        <v/>
      </c>
    </row>
    <row r="20">
      <c r="A20" s="18" t="n"/>
      <c r="B20" s="18" t="n"/>
      <c r="C20" s="19" t="n"/>
      <c r="D20" s="19" t="n"/>
      <c r="E20" s="18" t="n"/>
      <c r="F20" s="18" t="n"/>
      <c r="G20" s="18">
        <f>IF(A20="","",E20-F20)</f>
        <v/>
      </c>
      <c r="H20" s="19">
        <f>IF(A20="","",G20*C20)</f>
        <v/>
      </c>
      <c r="I20" s="18" t="n"/>
      <c r="J20" s="18">
        <f>IF(A20="","",IF(G20&lt;=I20,"⚠️ REORDER NA!","OK"))</f>
        <v/>
      </c>
    </row>
    <row r="21">
      <c r="A21" s="18" t="n"/>
      <c r="B21" s="18" t="n"/>
      <c r="C21" s="19" t="n"/>
      <c r="D21" s="19" t="n"/>
      <c r="E21" s="18" t="n"/>
      <c r="F21" s="18" t="n"/>
      <c r="G21" s="18">
        <f>IF(A21="","",E21-F21)</f>
        <v/>
      </c>
      <c r="H21" s="19">
        <f>IF(A21="","",G21*C21)</f>
        <v/>
      </c>
      <c r="I21" s="18" t="n"/>
      <c r="J21" s="18">
        <f>IF(A21="","",IF(G21&lt;=I21,"⚠️ REORDER NA!","OK"))</f>
        <v/>
      </c>
    </row>
    <row r="22">
      <c r="A22" s="18" t="n"/>
      <c r="B22" s="18" t="n"/>
      <c r="C22" s="19" t="n"/>
      <c r="D22" s="19" t="n"/>
      <c r="E22" s="18" t="n"/>
      <c r="F22" s="18" t="n"/>
      <c r="G22" s="18">
        <f>IF(A22="","",E22-F22)</f>
        <v/>
      </c>
      <c r="H22" s="19">
        <f>IF(A22="","",G22*C22)</f>
        <v/>
      </c>
      <c r="I22" s="18" t="n"/>
      <c r="J22" s="18">
        <f>IF(A22="","",IF(G22&lt;=I22,"⚠️ REORDER NA!","OK"))</f>
        <v/>
      </c>
    </row>
    <row r="23">
      <c r="A23" s="18" t="n"/>
      <c r="B23" s="18" t="n"/>
      <c r="C23" s="19" t="n"/>
      <c r="D23" s="19" t="n"/>
      <c r="E23" s="18" t="n"/>
      <c r="F23" s="18" t="n"/>
      <c r="G23" s="18">
        <f>IF(A23="","",E23-F23)</f>
        <v/>
      </c>
      <c r="H23" s="19">
        <f>IF(A23="","",G23*C23)</f>
        <v/>
      </c>
      <c r="I23" s="18" t="n"/>
      <c r="J23" s="18">
        <f>IF(A23="","",IF(G23&lt;=I23,"⚠️ REORDER NA!","OK"))</f>
        <v/>
      </c>
    </row>
    <row r="24">
      <c r="A24" s="18" t="n"/>
      <c r="B24" s="18" t="n"/>
      <c r="C24" s="19" t="n"/>
      <c r="D24" s="19" t="n"/>
      <c r="E24" s="18" t="n"/>
      <c r="F24" s="18" t="n"/>
      <c r="G24" s="18">
        <f>IF(A24="","",E24-F24)</f>
        <v/>
      </c>
      <c r="H24" s="19">
        <f>IF(A24="","",G24*C24)</f>
        <v/>
      </c>
      <c r="I24" s="18" t="n"/>
      <c r="J24" s="18">
        <f>IF(A24="","",IF(G24&lt;=I24,"⚠️ REORDER NA!","OK"))</f>
        <v/>
      </c>
    </row>
    <row r="25">
      <c r="A25" s="18" t="n"/>
      <c r="B25" s="18" t="n"/>
      <c r="C25" s="19" t="n"/>
      <c r="D25" s="19" t="n"/>
      <c r="E25" s="18" t="n"/>
      <c r="F25" s="18" t="n"/>
      <c r="G25" s="18">
        <f>IF(A25="","",E25-F25)</f>
        <v/>
      </c>
      <c r="H25" s="19">
        <f>IF(A25="","",G25*C25)</f>
        <v/>
      </c>
      <c r="I25" s="18" t="n"/>
      <c r="J25" s="18">
        <f>IF(A25="","",IF(G25&lt;=I25,"⚠️ REORDER NA!","OK"))</f>
        <v/>
      </c>
    </row>
    <row r="26">
      <c r="A26" s="18" t="n"/>
      <c r="B26" s="18" t="n"/>
      <c r="C26" s="19" t="n"/>
      <c r="D26" s="19" t="n"/>
      <c r="E26" s="18" t="n"/>
      <c r="F26" s="18" t="n"/>
      <c r="G26" s="18">
        <f>IF(A26="","",E26-F26)</f>
        <v/>
      </c>
      <c r="H26" s="19">
        <f>IF(A26="","",G26*C26)</f>
        <v/>
      </c>
      <c r="I26" s="18" t="n"/>
      <c r="J26" s="18">
        <f>IF(A26="","",IF(G26&lt;=I26,"⚠️ REORDER NA!","OK"))</f>
        <v/>
      </c>
    </row>
    <row r="27">
      <c r="A27" s="18" t="n"/>
      <c r="B27" s="18" t="n"/>
      <c r="C27" s="19" t="n"/>
      <c r="D27" s="19" t="n"/>
      <c r="E27" s="18" t="n"/>
      <c r="F27" s="18" t="n"/>
      <c r="G27" s="18">
        <f>IF(A27="","",E27-F27)</f>
        <v/>
      </c>
      <c r="H27" s="19">
        <f>IF(A27="","",G27*C27)</f>
        <v/>
      </c>
      <c r="I27" s="18" t="n"/>
      <c r="J27" s="18">
        <f>IF(A27="","",IF(G27&lt;=I27,"⚠️ REORDER NA!","OK"))</f>
        <v/>
      </c>
    </row>
    <row r="28">
      <c r="A28" s="18" t="n"/>
      <c r="B28" s="18" t="n"/>
      <c r="C28" s="19" t="n"/>
      <c r="D28" s="19" t="n"/>
      <c r="E28" s="18" t="n"/>
      <c r="F28" s="18" t="n"/>
      <c r="G28" s="18">
        <f>IF(A28="","",E28-F28)</f>
        <v/>
      </c>
      <c r="H28" s="19">
        <f>IF(A28="","",G28*C28)</f>
        <v/>
      </c>
      <c r="I28" s="18" t="n"/>
      <c r="J28" s="18">
        <f>IF(A28="","",IF(G28&lt;=I28,"⚠️ REORDER NA!","OK"))</f>
        <v/>
      </c>
    </row>
    <row r="29">
      <c r="A29" s="18" t="n"/>
      <c r="B29" s="18" t="n"/>
      <c r="C29" s="19" t="n"/>
      <c r="D29" s="19" t="n"/>
      <c r="E29" s="18" t="n"/>
      <c r="F29" s="18" t="n"/>
      <c r="G29" s="18">
        <f>IF(A29="","",E29-F29)</f>
        <v/>
      </c>
      <c r="H29" s="19">
        <f>IF(A29="","",G29*C29)</f>
        <v/>
      </c>
      <c r="I29" s="18" t="n"/>
      <c r="J29" s="18">
        <f>IF(A29="","",IF(G29&lt;=I29,"⚠️ REORDER NA!","OK"))</f>
        <v/>
      </c>
    </row>
    <row r="30">
      <c r="A30" s="18" t="n"/>
      <c r="B30" s="18" t="n"/>
      <c r="C30" s="19" t="n"/>
      <c r="D30" s="19" t="n"/>
      <c r="E30" s="18" t="n"/>
      <c r="F30" s="18" t="n"/>
      <c r="G30" s="18">
        <f>IF(A30="","",E30-F30)</f>
        <v/>
      </c>
      <c r="H30" s="19">
        <f>IF(A30="","",G30*C30)</f>
        <v/>
      </c>
      <c r="I30" s="18" t="n"/>
      <c r="J30" s="18">
        <f>IF(A30="","",IF(G30&lt;=I30,"⚠️ REORDER NA!","OK"))</f>
        <v/>
      </c>
    </row>
    <row r="31">
      <c r="A31" s="18" t="n"/>
      <c r="B31" s="18" t="n"/>
      <c r="C31" s="19" t="n"/>
      <c r="D31" s="19" t="n"/>
      <c r="E31" s="18" t="n"/>
      <c r="F31" s="18" t="n"/>
      <c r="G31" s="18">
        <f>IF(A31="","",E31-F31)</f>
        <v/>
      </c>
      <c r="H31" s="19">
        <f>IF(A31="","",G31*C31)</f>
        <v/>
      </c>
      <c r="I31" s="18" t="n"/>
      <c r="J31" s="18">
        <f>IF(A31="","",IF(G31&lt;=I31,"⚠️ REORDER NA!","OK"))</f>
        <v/>
      </c>
    </row>
    <row r="32">
      <c r="A32" s="18" t="n"/>
      <c r="B32" s="18" t="n"/>
      <c r="C32" s="19" t="n"/>
      <c r="D32" s="19" t="n"/>
      <c r="E32" s="18" t="n"/>
      <c r="F32" s="18" t="n"/>
      <c r="G32" s="18">
        <f>IF(A32="","",E32-F32)</f>
        <v/>
      </c>
      <c r="H32" s="19">
        <f>IF(A32="","",G32*C32)</f>
        <v/>
      </c>
      <c r="I32" s="18" t="n"/>
      <c r="J32" s="18">
        <f>IF(A32="","",IF(G32&lt;=I32,"⚠️ REORDER NA!","OK"))</f>
        <v/>
      </c>
    </row>
    <row r="33">
      <c r="A33" s="18" t="n"/>
      <c r="B33" s="18" t="n"/>
      <c r="C33" s="19" t="n"/>
      <c r="D33" s="19" t="n"/>
      <c r="E33" s="18" t="n"/>
      <c r="F33" s="18" t="n"/>
      <c r="G33" s="18">
        <f>IF(A33="","",E33-F33)</f>
        <v/>
      </c>
      <c r="H33" s="19">
        <f>IF(A33="","",G33*C33)</f>
        <v/>
      </c>
      <c r="I33" s="18" t="n"/>
      <c r="J33" s="18">
        <f>IF(A33="","",IF(G33&lt;=I33,"⚠️ REORDER NA!","OK"))</f>
        <v/>
      </c>
    </row>
    <row r="34">
      <c r="A34" s="18" t="n"/>
      <c r="B34" s="18" t="n"/>
      <c r="C34" s="19" t="n"/>
      <c r="D34" s="19" t="n"/>
      <c r="E34" s="18" t="n"/>
      <c r="F34" s="18" t="n"/>
      <c r="G34" s="18">
        <f>IF(A34="","",E34-F34)</f>
        <v/>
      </c>
      <c r="H34" s="19">
        <f>IF(A34="","",G34*C34)</f>
        <v/>
      </c>
      <c r="I34" s="18" t="n"/>
      <c r="J34" s="18">
        <f>IF(A34="","",IF(G34&lt;=I34,"⚠️ REORDER NA!","OK"))</f>
        <v/>
      </c>
    </row>
    <row r="35">
      <c r="A35" s="18" t="n"/>
      <c r="B35" s="18" t="n"/>
      <c r="C35" s="19" t="n"/>
      <c r="D35" s="19" t="n"/>
      <c r="E35" s="18" t="n"/>
      <c r="F35" s="18" t="n"/>
      <c r="G35" s="18">
        <f>IF(A35="","",E35-F35)</f>
        <v/>
      </c>
      <c r="H35" s="19">
        <f>IF(A35="","",G35*C35)</f>
        <v/>
      </c>
      <c r="I35" s="18" t="n"/>
      <c r="J35" s="18">
        <f>IF(A35="","",IF(G35&lt;=I35,"⚠️ REORDER NA!","OK"))</f>
        <v/>
      </c>
    </row>
    <row r="36">
      <c r="A36" s="18" t="n"/>
      <c r="B36" s="18" t="n"/>
      <c r="C36" s="19" t="n"/>
      <c r="D36" s="19" t="n"/>
      <c r="E36" s="18" t="n"/>
      <c r="F36" s="18" t="n"/>
      <c r="G36" s="18">
        <f>IF(A36="","",E36-F36)</f>
        <v/>
      </c>
      <c r="H36" s="19">
        <f>IF(A36="","",G36*C36)</f>
        <v/>
      </c>
      <c r="I36" s="18" t="n"/>
      <c r="J36" s="18">
        <f>IF(A36="","",IF(G36&lt;=I36,"⚠️ REORDER NA!","OK"))</f>
        <v/>
      </c>
    </row>
    <row r="37">
      <c r="A37" s="18" t="n"/>
      <c r="B37" s="18" t="n"/>
      <c r="C37" s="19" t="n"/>
      <c r="D37" s="19" t="n"/>
      <c r="E37" s="18" t="n"/>
      <c r="F37" s="18" t="n"/>
      <c r="G37" s="18">
        <f>IF(A37="","",E37-F37)</f>
        <v/>
      </c>
      <c r="H37" s="19">
        <f>IF(A37="","",G37*C37)</f>
        <v/>
      </c>
      <c r="I37" s="18" t="n"/>
      <c r="J37" s="18">
        <f>IF(A37="","",IF(G37&lt;=I37,"⚠️ REORDER NA!","OK"))</f>
        <v/>
      </c>
    </row>
    <row r="38">
      <c r="A38" s="18" t="n"/>
      <c r="B38" s="18" t="n"/>
      <c r="C38" s="19" t="n"/>
      <c r="D38" s="19" t="n"/>
      <c r="E38" s="18" t="n"/>
      <c r="F38" s="18" t="n"/>
      <c r="G38" s="18">
        <f>IF(A38="","",E38-F38)</f>
        <v/>
      </c>
      <c r="H38" s="19">
        <f>IF(A38="","",G38*C38)</f>
        <v/>
      </c>
      <c r="I38" s="18" t="n"/>
      <c r="J38" s="18">
        <f>IF(A38="","",IF(G38&lt;=I38,"⚠️ REORDER NA!","OK"))</f>
        <v/>
      </c>
    </row>
    <row r="39">
      <c r="A39" s="18" t="n"/>
      <c r="B39" s="18" t="n"/>
      <c r="C39" s="19" t="n"/>
      <c r="D39" s="19" t="n"/>
      <c r="E39" s="18" t="n"/>
      <c r="F39" s="18" t="n"/>
      <c r="G39" s="18">
        <f>IF(A39="","",E39-F39)</f>
        <v/>
      </c>
      <c r="H39" s="19">
        <f>IF(A39="","",G39*C39)</f>
        <v/>
      </c>
      <c r="I39" s="18" t="n"/>
      <c r="J39" s="18">
        <f>IF(A39="","",IF(G39&lt;=I39,"⚠️ REORDER NA!","OK"))</f>
        <v/>
      </c>
    </row>
    <row r="40">
      <c r="A40" s="18" t="n"/>
      <c r="B40" s="18" t="n"/>
      <c r="C40" s="19" t="n"/>
      <c r="D40" s="19" t="n"/>
      <c r="E40" s="18" t="n"/>
      <c r="F40" s="18" t="n"/>
      <c r="G40" s="18">
        <f>IF(A40="","",E40-F40)</f>
        <v/>
      </c>
      <c r="H40" s="19">
        <f>IF(A40="","",G40*C40)</f>
        <v/>
      </c>
      <c r="I40" s="18" t="n"/>
      <c r="J40" s="18">
        <f>IF(A40="","",IF(G40&lt;=I40,"⚠️ REORDER NA!","OK"))</f>
        <v/>
      </c>
    </row>
    <row r="41">
      <c r="A41" s="18" t="n"/>
      <c r="B41" s="18" t="n"/>
      <c r="C41" s="19" t="n"/>
      <c r="D41" s="19" t="n"/>
      <c r="E41" s="18" t="n"/>
      <c r="F41" s="18" t="n"/>
      <c r="G41" s="18">
        <f>IF(A41="","",E41-F41)</f>
        <v/>
      </c>
      <c r="H41" s="19">
        <f>IF(A41="","",G41*C41)</f>
        <v/>
      </c>
      <c r="I41" s="18" t="n"/>
      <c r="J41" s="18">
        <f>IF(A41="","",IF(G41&lt;=I41,"⚠️ REORDER NA!","OK"))</f>
        <v/>
      </c>
    </row>
    <row r="42">
      <c r="A42" s="18" t="n"/>
      <c r="B42" s="18" t="n"/>
      <c r="C42" s="19" t="n"/>
      <c r="D42" s="19" t="n"/>
      <c r="E42" s="18" t="n"/>
      <c r="F42" s="18" t="n"/>
      <c r="G42" s="18">
        <f>IF(A42="","",E42-F42)</f>
        <v/>
      </c>
      <c r="H42" s="19">
        <f>IF(A42="","",G42*C42)</f>
        <v/>
      </c>
      <c r="I42" s="18" t="n"/>
      <c r="J42" s="18">
        <f>IF(A42="","",IF(G42&lt;=I42,"⚠️ REORDER NA!","OK"))</f>
        <v/>
      </c>
    </row>
    <row r="43">
      <c r="A43" s="18" t="n"/>
      <c r="B43" s="18" t="n"/>
      <c r="C43" s="19" t="n"/>
      <c r="D43" s="19" t="n"/>
      <c r="E43" s="18" t="n"/>
      <c r="F43" s="18" t="n"/>
      <c r="G43" s="18">
        <f>IF(A43="","",E43-F43)</f>
        <v/>
      </c>
      <c r="H43" s="19">
        <f>IF(A43="","",G43*C43)</f>
        <v/>
      </c>
      <c r="I43" s="18" t="n"/>
      <c r="J43" s="18">
        <f>IF(A43="","",IF(G43&lt;=I43,"⚠️ REORDER NA!","OK"))</f>
        <v/>
      </c>
    </row>
    <row r="44">
      <c r="A44" s="18" t="n"/>
      <c r="B44" s="18" t="n"/>
      <c r="C44" s="19" t="n"/>
      <c r="D44" s="19" t="n"/>
      <c r="E44" s="18" t="n"/>
      <c r="F44" s="18" t="n"/>
      <c r="G44" s="18">
        <f>IF(A44="","",E44-F44)</f>
        <v/>
      </c>
      <c r="H44" s="19">
        <f>IF(A44="","",G44*C44)</f>
        <v/>
      </c>
      <c r="I44" s="18" t="n"/>
      <c r="J44" s="18">
        <f>IF(A44="","",IF(G44&lt;=I44,"⚠️ REORDER NA!","OK"))</f>
        <v/>
      </c>
    </row>
    <row r="45">
      <c r="A45" s="18" t="n"/>
      <c r="B45" s="18" t="n"/>
      <c r="C45" s="19" t="n"/>
      <c r="D45" s="19" t="n"/>
      <c r="E45" s="18" t="n"/>
      <c r="F45" s="18" t="n"/>
      <c r="G45" s="18">
        <f>IF(A45="","",E45-F45)</f>
        <v/>
      </c>
      <c r="H45" s="19">
        <f>IF(A45="","",G45*C45)</f>
        <v/>
      </c>
      <c r="I45" s="18" t="n"/>
      <c r="J45" s="18">
        <f>IF(A45="","",IF(G45&lt;=I45,"⚠️ REORDER NA!","OK"))</f>
        <v/>
      </c>
    </row>
    <row r="46">
      <c r="A46" s="18" t="n"/>
      <c r="B46" s="18" t="n"/>
      <c r="C46" s="19" t="n"/>
      <c r="D46" s="19" t="n"/>
      <c r="E46" s="18" t="n"/>
      <c r="F46" s="18" t="n"/>
      <c r="G46" s="18">
        <f>IF(A46="","",E46-F46)</f>
        <v/>
      </c>
      <c r="H46" s="19">
        <f>IF(A46="","",G46*C46)</f>
        <v/>
      </c>
      <c r="I46" s="18" t="n"/>
      <c r="J46" s="18">
        <f>IF(A46="","",IF(G46&lt;=I46,"⚠️ REORDER NA!","OK"))</f>
        <v/>
      </c>
    </row>
    <row r="47">
      <c r="A47" s="18" t="n"/>
      <c r="B47" s="18" t="n"/>
      <c r="C47" s="19" t="n"/>
      <c r="D47" s="19" t="n"/>
      <c r="E47" s="18" t="n"/>
      <c r="F47" s="18" t="n"/>
      <c r="G47" s="18">
        <f>IF(A47="","",E47-F47)</f>
        <v/>
      </c>
      <c r="H47" s="19">
        <f>IF(A47="","",G47*C47)</f>
        <v/>
      </c>
      <c r="I47" s="18" t="n"/>
      <c r="J47" s="18">
        <f>IF(A47="","",IF(G47&lt;=I47,"⚠️ REORDER NA!","OK"))</f>
        <v/>
      </c>
    </row>
    <row r="48">
      <c r="A48" s="18" t="n"/>
      <c r="B48" s="18" t="n"/>
      <c r="C48" s="19" t="n"/>
      <c r="D48" s="19" t="n"/>
      <c r="E48" s="18" t="n"/>
      <c r="F48" s="18" t="n"/>
      <c r="G48" s="18">
        <f>IF(A48="","",E48-F48)</f>
        <v/>
      </c>
      <c r="H48" s="19">
        <f>IF(A48="","",G48*C48)</f>
        <v/>
      </c>
      <c r="I48" s="18" t="n"/>
      <c r="J48" s="18">
        <f>IF(A48="","",IF(G48&lt;=I48,"⚠️ REORDER NA!","OK"))</f>
        <v/>
      </c>
    </row>
    <row r="49">
      <c r="A49" s="18" t="n"/>
      <c r="B49" s="18" t="n"/>
      <c r="C49" s="19" t="n"/>
      <c r="D49" s="19" t="n"/>
      <c r="E49" s="18" t="n"/>
      <c r="F49" s="18" t="n"/>
      <c r="G49" s="18">
        <f>IF(A49="","",E49-F49)</f>
        <v/>
      </c>
      <c r="H49" s="19">
        <f>IF(A49="","",G49*C49)</f>
        <v/>
      </c>
      <c r="I49" s="18" t="n"/>
      <c r="J49" s="18">
        <f>IF(A49="","",IF(G49&lt;=I49,"⚠️ REORDER NA!","OK"))</f>
        <v/>
      </c>
    </row>
    <row r="50">
      <c r="A50" s="18" t="n"/>
      <c r="B50" s="18" t="n"/>
      <c r="C50" s="19" t="n"/>
      <c r="D50" s="19" t="n"/>
      <c r="E50" s="18" t="n"/>
      <c r="F50" s="18" t="n"/>
      <c r="G50" s="18">
        <f>IF(A50="","",E50-F50)</f>
        <v/>
      </c>
      <c r="H50" s="19">
        <f>IF(A50="","",G50*C50)</f>
        <v/>
      </c>
      <c r="I50" s="18" t="n"/>
      <c r="J50" s="18">
        <f>IF(A50="","",IF(G50&lt;=I50,"⚠️ REORDER NA!","OK"))</f>
        <v/>
      </c>
    </row>
    <row r="51">
      <c r="A51" s="18" t="n"/>
      <c r="B51" s="18" t="n"/>
      <c r="C51" s="19" t="n"/>
      <c r="D51" s="19" t="n"/>
      <c r="E51" s="18" t="n"/>
      <c r="F51" s="18" t="n"/>
      <c r="G51" s="18">
        <f>IF(A51="","",E51-F51)</f>
        <v/>
      </c>
      <c r="H51" s="19">
        <f>IF(A51="","",G51*C51)</f>
        <v/>
      </c>
      <c r="I51" s="18" t="n"/>
      <c r="J51" s="18">
        <f>IF(A51="","",IF(G51&lt;=I51,"⚠️ REORDER NA!","OK"))</f>
        <v/>
      </c>
    </row>
    <row r="52">
      <c r="A52" s="18" t="n"/>
      <c r="B52" s="18" t="n"/>
      <c r="C52" s="19" t="n"/>
      <c r="D52" s="19" t="n"/>
      <c r="E52" s="18" t="n"/>
      <c r="F52" s="18" t="n"/>
      <c r="G52" s="18">
        <f>IF(A52="","",E52-F52)</f>
        <v/>
      </c>
      <c r="H52" s="19">
        <f>IF(A52="","",G52*C52)</f>
        <v/>
      </c>
      <c r="I52" s="18" t="n"/>
      <c r="J52" s="18">
        <f>IF(A52="","",IF(G52&lt;=I52,"⚠️ REORDER NA!","OK"))</f>
        <v/>
      </c>
    </row>
    <row r="53">
      <c r="A53" s="18" t="n"/>
      <c r="B53" s="18" t="n"/>
      <c r="C53" s="19" t="n"/>
      <c r="D53" s="19" t="n"/>
      <c r="E53" s="18" t="n"/>
      <c r="F53" s="18" t="n"/>
      <c r="G53" s="18">
        <f>IF(A53="","",E53-F53)</f>
        <v/>
      </c>
      <c r="H53" s="19">
        <f>IF(A53="","",G53*C53)</f>
        <v/>
      </c>
      <c r="I53" s="18" t="n"/>
      <c r="J53" s="18">
        <f>IF(A53="","",IF(G53&lt;=I53,"⚠️ REORDER NA!","OK"))</f>
        <v/>
      </c>
    </row>
    <row r="54">
      <c r="A54" s="18" t="n"/>
      <c r="B54" s="18" t="n"/>
      <c r="C54" s="19" t="n"/>
      <c r="D54" s="19" t="n"/>
      <c r="E54" s="18" t="n"/>
      <c r="F54" s="18" t="n"/>
      <c r="G54" s="18">
        <f>IF(A54="","",E54-F54)</f>
        <v/>
      </c>
      <c r="H54" s="19">
        <f>IF(A54="","",G54*C54)</f>
        <v/>
      </c>
      <c r="I54" s="18" t="n"/>
      <c r="J54" s="18">
        <f>IF(A54="","",IF(G54&lt;=I54,"⚠️ REORDER NA!","OK"))</f>
        <v/>
      </c>
    </row>
    <row r="55">
      <c r="A55" s="18" t="n"/>
      <c r="B55" s="18" t="n"/>
      <c r="C55" s="19" t="n"/>
      <c r="D55" s="19" t="n"/>
      <c r="E55" s="18" t="n"/>
      <c r="F55" s="18" t="n"/>
      <c r="G55" s="18">
        <f>IF(A55="","",E55-F55)</f>
        <v/>
      </c>
      <c r="H55" s="19">
        <f>IF(A55="","",G55*C55)</f>
        <v/>
      </c>
      <c r="I55" s="18" t="n"/>
      <c r="J55" s="18">
        <f>IF(A55="","",IF(G55&lt;=I55,"⚠️ REORDER NA!","OK"))</f>
        <v/>
      </c>
    </row>
    <row r="56">
      <c r="A56" s="18" t="n"/>
      <c r="B56" s="18" t="n"/>
      <c r="C56" s="19" t="n"/>
      <c r="D56" s="19" t="n"/>
      <c r="E56" s="18" t="n"/>
      <c r="F56" s="18" t="n"/>
      <c r="G56" s="18">
        <f>IF(A56="","",E56-F56)</f>
        <v/>
      </c>
      <c r="H56" s="19">
        <f>IF(A56="","",G56*C56)</f>
        <v/>
      </c>
      <c r="I56" s="18" t="n"/>
      <c r="J56" s="18">
        <f>IF(A56="","",IF(G56&lt;=I56,"⚠️ REORDER NA!","OK"))</f>
        <v/>
      </c>
    </row>
    <row r="57">
      <c r="A57" s="18" t="n"/>
      <c r="B57" s="18" t="n"/>
      <c r="C57" s="19" t="n"/>
      <c r="D57" s="19" t="n"/>
      <c r="E57" s="18" t="n"/>
      <c r="F57" s="18" t="n"/>
      <c r="G57" s="18">
        <f>IF(A57="","",E57-F57)</f>
        <v/>
      </c>
      <c r="H57" s="19">
        <f>IF(A57="","",G57*C57)</f>
        <v/>
      </c>
      <c r="I57" s="18" t="n"/>
      <c r="J57" s="18">
        <f>IF(A57="","",IF(G57&lt;=I57,"⚠️ REORDER NA!","OK"))</f>
        <v/>
      </c>
    </row>
    <row r="58">
      <c r="A58" s="18" t="n"/>
      <c r="B58" s="18" t="n"/>
      <c r="C58" s="19" t="n"/>
      <c r="D58" s="19" t="n"/>
      <c r="E58" s="18" t="n"/>
      <c r="F58" s="18" t="n"/>
      <c r="G58" s="18">
        <f>IF(A58="","",E58-F58)</f>
        <v/>
      </c>
      <c r="H58" s="19">
        <f>IF(A58="","",G58*C58)</f>
        <v/>
      </c>
      <c r="I58" s="18" t="n"/>
      <c r="J58" s="18">
        <f>IF(A58="","",IF(G58&lt;=I58,"⚠️ REORDER NA!","OK"))</f>
        <v/>
      </c>
    </row>
    <row r="59">
      <c r="A59" s="18" t="n"/>
      <c r="B59" s="18" t="n"/>
      <c r="C59" s="19" t="n"/>
      <c r="D59" s="19" t="n"/>
      <c r="E59" s="18" t="n"/>
      <c r="F59" s="18" t="n"/>
      <c r="G59" s="18">
        <f>IF(A59="","",E59-F59)</f>
        <v/>
      </c>
      <c r="H59" s="19">
        <f>IF(A59="","",G59*C59)</f>
        <v/>
      </c>
      <c r="I59" s="18" t="n"/>
      <c r="J59" s="18">
        <f>IF(A59="","",IF(G59&lt;=I59,"⚠️ REORDER NA!","OK"))</f>
        <v/>
      </c>
    </row>
    <row r="60">
      <c r="A60" s="18" t="n"/>
      <c r="B60" s="18" t="n"/>
      <c r="C60" s="19" t="n"/>
      <c r="D60" s="19" t="n"/>
      <c r="E60" s="18" t="n"/>
      <c r="F60" s="18" t="n"/>
      <c r="G60" s="18">
        <f>IF(A60="","",E60-F60)</f>
        <v/>
      </c>
      <c r="H60" s="19">
        <f>IF(A60="","",G60*C60)</f>
        <v/>
      </c>
      <c r="I60" s="18" t="n"/>
      <c r="J60" s="18">
        <f>IF(A60="","",IF(G60&lt;=I60,"⚠️ REORDER NA!","OK"))</f>
        <v/>
      </c>
    </row>
    <row r="61">
      <c r="A61" s="18" t="n"/>
      <c r="B61" s="18" t="n"/>
      <c r="C61" s="19" t="n"/>
      <c r="D61" s="19" t="n"/>
      <c r="E61" s="18" t="n"/>
      <c r="F61" s="18" t="n"/>
      <c r="G61" s="18">
        <f>IF(A61="","",E61-F61)</f>
        <v/>
      </c>
      <c r="H61" s="19">
        <f>IF(A61="","",G61*C61)</f>
        <v/>
      </c>
      <c r="I61" s="18" t="n"/>
      <c r="J61" s="18">
        <f>IF(A61="","",IF(G61&lt;=I61,"⚠️ REORDER NA!","OK"))</f>
        <v/>
      </c>
    </row>
    <row r="62">
      <c r="A62" s="18" t="n"/>
      <c r="B62" s="18" t="n"/>
      <c r="C62" s="19" t="n"/>
      <c r="D62" s="19" t="n"/>
      <c r="E62" s="18" t="n"/>
      <c r="F62" s="18" t="n"/>
      <c r="G62" s="18">
        <f>IF(A62="","",E62-F62)</f>
        <v/>
      </c>
      <c r="H62" s="19">
        <f>IF(A62="","",G62*C62)</f>
        <v/>
      </c>
      <c r="I62" s="18" t="n"/>
      <c r="J62" s="18">
        <f>IF(A62="","",IF(G62&lt;=I62,"⚠️ REORDER NA!","OK"))</f>
        <v/>
      </c>
    </row>
    <row r="63">
      <c r="A63" s="18" t="n"/>
      <c r="B63" s="18" t="n"/>
      <c r="C63" s="19" t="n"/>
      <c r="D63" s="19" t="n"/>
      <c r="E63" s="18" t="n"/>
      <c r="F63" s="18" t="n"/>
      <c r="G63" s="18">
        <f>IF(A63="","",E63-F63)</f>
        <v/>
      </c>
      <c r="H63" s="19">
        <f>IF(A63="","",G63*C63)</f>
        <v/>
      </c>
      <c r="I63" s="18" t="n"/>
      <c r="J63" s="18">
        <f>IF(A63="","",IF(G63&lt;=I63,"⚠️ REORDER NA!","OK"))</f>
        <v/>
      </c>
    </row>
    <row r="64">
      <c r="A64" s="18" t="n"/>
      <c r="B64" s="18" t="n"/>
      <c r="C64" s="19" t="n"/>
      <c r="D64" s="19" t="n"/>
      <c r="E64" s="18" t="n"/>
      <c r="F64" s="18" t="n"/>
      <c r="G64" s="18">
        <f>IF(A64="","",E64-F64)</f>
        <v/>
      </c>
      <c r="H64" s="19">
        <f>IF(A64="","",G64*C64)</f>
        <v/>
      </c>
      <c r="I64" s="18" t="n"/>
      <c r="J64" s="18">
        <f>IF(A64="","",IF(G64&lt;=I64,"⚠️ REORDER NA!","OK"))</f>
        <v/>
      </c>
    </row>
    <row r="65">
      <c r="A65" s="18" t="n"/>
      <c r="B65" s="18" t="n"/>
      <c r="C65" s="19" t="n"/>
      <c r="D65" s="19" t="n"/>
      <c r="E65" s="18" t="n"/>
      <c r="F65" s="18" t="n"/>
      <c r="G65" s="18">
        <f>IF(A65="","",E65-F65)</f>
        <v/>
      </c>
      <c r="H65" s="19">
        <f>IF(A65="","",G65*C65)</f>
        <v/>
      </c>
      <c r="I65" s="18" t="n"/>
      <c r="J65" s="18">
        <f>IF(A65="","",IF(G65&lt;=I65,"⚠️ REORDER NA!","OK"))</f>
        <v/>
      </c>
    </row>
    <row r="66">
      <c r="A66" s="18" t="n"/>
      <c r="B66" s="18" t="n"/>
      <c r="C66" s="19" t="n"/>
      <c r="D66" s="19" t="n"/>
      <c r="E66" s="18" t="n"/>
      <c r="F66" s="18" t="n"/>
      <c r="G66" s="18">
        <f>IF(A66="","",E66-F66)</f>
        <v/>
      </c>
      <c r="H66" s="19">
        <f>IF(A66="","",G66*C66)</f>
        <v/>
      </c>
      <c r="I66" s="18" t="n"/>
      <c r="J66" s="18">
        <f>IF(A66="","",IF(G66&lt;=I66,"⚠️ REORDER NA!","OK"))</f>
        <v/>
      </c>
    </row>
    <row r="67">
      <c r="A67" s="18" t="n"/>
      <c r="B67" s="18" t="n"/>
      <c r="C67" s="19" t="n"/>
      <c r="D67" s="19" t="n"/>
      <c r="E67" s="18" t="n"/>
      <c r="F67" s="18" t="n"/>
      <c r="G67" s="18">
        <f>IF(A67="","",E67-F67)</f>
        <v/>
      </c>
      <c r="H67" s="19">
        <f>IF(A67="","",G67*C67)</f>
        <v/>
      </c>
      <c r="I67" s="18" t="n"/>
      <c r="J67" s="18">
        <f>IF(A67="","",IF(G67&lt;=I67,"⚠️ REORDER NA!","OK"))</f>
        <v/>
      </c>
    </row>
    <row r="68">
      <c r="A68" s="18" t="n"/>
      <c r="B68" s="18" t="n"/>
      <c r="C68" s="19" t="n"/>
      <c r="D68" s="19" t="n"/>
      <c r="E68" s="18" t="n"/>
      <c r="F68" s="18" t="n"/>
      <c r="G68" s="18">
        <f>IF(A68="","",E68-F68)</f>
        <v/>
      </c>
      <c r="H68" s="19">
        <f>IF(A68="","",G68*C68)</f>
        <v/>
      </c>
      <c r="I68" s="18" t="n"/>
      <c r="J68" s="18">
        <f>IF(A68="","",IF(G68&lt;=I68,"⚠️ REORDER NA!","OK"))</f>
        <v/>
      </c>
    </row>
    <row r="69">
      <c r="A69" s="18" t="n"/>
      <c r="B69" s="18" t="n"/>
      <c r="C69" s="19" t="n"/>
      <c r="D69" s="19" t="n"/>
      <c r="E69" s="18" t="n"/>
      <c r="F69" s="18" t="n"/>
      <c r="G69" s="18">
        <f>IF(A69="","",E69-F69)</f>
        <v/>
      </c>
      <c r="H69" s="19">
        <f>IF(A69="","",G69*C69)</f>
        <v/>
      </c>
      <c r="I69" s="18" t="n"/>
      <c r="J69" s="18">
        <f>IF(A69="","",IF(G69&lt;=I69,"⚠️ REORDER NA!","OK"))</f>
        <v/>
      </c>
    </row>
    <row r="70">
      <c r="A70" s="18" t="n"/>
      <c r="B70" s="18" t="n"/>
      <c r="C70" s="19" t="n"/>
      <c r="D70" s="19" t="n"/>
      <c r="E70" s="18" t="n"/>
      <c r="F70" s="18" t="n"/>
      <c r="G70" s="18">
        <f>IF(A70="","",E70-F70)</f>
        <v/>
      </c>
      <c r="H70" s="19">
        <f>IF(A70="","",G70*C70)</f>
        <v/>
      </c>
      <c r="I70" s="18" t="n"/>
      <c r="J70" s="18">
        <f>IF(A70="","",IF(G70&lt;=I70,"⚠️ REORDER NA!","OK"))</f>
        <v/>
      </c>
    </row>
    <row r="71">
      <c r="A71" s="18" t="n"/>
      <c r="B71" s="18" t="n"/>
      <c r="C71" s="19" t="n"/>
      <c r="D71" s="19" t="n"/>
      <c r="E71" s="18" t="n"/>
      <c r="F71" s="18" t="n"/>
      <c r="G71" s="18">
        <f>IF(A71="","",E71-F71)</f>
        <v/>
      </c>
      <c r="H71" s="19">
        <f>IF(A71="","",G71*C71)</f>
        <v/>
      </c>
      <c r="I71" s="18" t="n"/>
      <c r="J71" s="18">
        <f>IF(A71="","",IF(G71&lt;=I71,"⚠️ REORDER NA!","OK"))</f>
        <v/>
      </c>
    </row>
    <row r="72">
      <c r="A72" s="18" t="n"/>
      <c r="B72" s="18" t="n"/>
      <c r="C72" s="19" t="n"/>
      <c r="D72" s="19" t="n"/>
      <c r="E72" s="18" t="n"/>
      <c r="F72" s="18" t="n"/>
      <c r="G72" s="18">
        <f>IF(A72="","",E72-F72)</f>
        <v/>
      </c>
      <c r="H72" s="19">
        <f>IF(A72="","",G72*C72)</f>
        <v/>
      </c>
      <c r="I72" s="18" t="n"/>
      <c r="J72" s="18">
        <f>IF(A72="","",IF(G72&lt;=I72,"⚠️ REORDER NA!","OK"))</f>
        <v/>
      </c>
    </row>
    <row r="73">
      <c r="A73" s="18" t="n"/>
      <c r="B73" s="18" t="n"/>
      <c r="C73" s="19" t="n"/>
      <c r="D73" s="19" t="n"/>
      <c r="E73" s="18" t="n"/>
      <c r="F73" s="18" t="n"/>
      <c r="G73" s="18">
        <f>IF(A73="","",E73-F73)</f>
        <v/>
      </c>
      <c r="H73" s="19">
        <f>IF(A73="","",G73*C73)</f>
        <v/>
      </c>
      <c r="I73" s="18" t="n"/>
      <c r="J73" s="18">
        <f>IF(A73="","",IF(G73&lt;=I73,"⚠️ REORDER NA!","OK"))</f>
        <v/>
      </c>
    </row>
    <row r="74">
      <c r="A74" s="18" t="n"/>
      <c r="B74" s="18" t="n"/>
      <c r="C74" s="19" t="n"/>
      <c r="D74" s="19" t="n"/>
      <c r="E74" s="18" t="n"/>
      <c r="F74" s="18" t="n"/>
      <c r="G74" s="18">
        <f>IF(A74="","",E74-F74)</f>
        <v/>
      </c>
      <c r="H74" s="19">
        <f>IF(A74="","",G74*C74)</f>
        <v/>
      </c>
      <c r="I74" s="18" t="n"/>
      <c r="J74" s="18">
        <f>IF(A74="","",IF(G74&lt;=I74,"⚠️ REORDER NA!","OK"))</f>
        <v/>
      </c>
    </row>
    <row r="75">
      <c r="A75" s="18" t="n"/>
      <c r="B75" s="18" t="n"/>
      <c r="C75" s="19" t="n"/>
      <c r="D75" s="19" t="n"/>
      <c r="E75" s="18" t="n"/>
      <c r="F75" s="18" t="n"/>
      <c r="G75" s="18">
        <f>IF(A75="","",E75-F75)</f>
        <v/>
      </c>
      <c r="H75" s="19">
        <f>IF(A75="","",G75*C75)</f>
        <v/>
      </c>
      <c r="I75" s="18" t="n"/>
      <c r="J75" s="18">
        <f>IF(A75="","",IF(G75&lt;=I75,"⚠️ REORDER NA!","OK"))</f>
        <v/>
      </c>
    </row>
    <row r="76">
      <c r="A76" s="18" t="n"/>
      <c r="B76" s="18" t="n"/>
      <c r="C76" s="19" t="n"/>
      <c r="D76" s="19" t="n"/>
      <c r="E76" s="18" t="n"/>
      <c r="F76" s="18" t="n"/>
      <c r="G76" s="18">
        <f>IF(A76="","",E76-F76)</f>
        <v/>
      </c>
      <c r="H76" s="19">
        <f>IF(A76="","",G76*C76)</f>
        <v/>
      </c>
      <c r="I76" s="18" t="n"/>
      <c r="J76" s="18">
        <f>IF(A76="","",IF(G76&lt;=I76,"⚠️ REORDER NA!","OK"))</f>
        <v/>
      </c>
    </row>
    <row r="77">
      <c r="A77" s="18" t="n"/>
      <c r="B77" s="18" t="n"/>
      <c r="C77" s="19" t="n"/>
      <c r="D77" s="19" t="n"/>
      <c r="E77" s="18" t="n"/>
      <c r="F77" s="18" t="n"/>
      <c r="G77" s="18">
        <f>IF(A77="","",E77-F77)</f>
        <v/>
      </c>
      <c r="H77" s="19">
        <f>IF(A77="","",G77*C77)</f>
        <v/>
      </c>
      <c r="I77" s="18" t="n"/>
      <c r="J77" s="18">
        <f>IF(A77="","",IF(G77&lt;=I77,"⚠️ REORDER NA!","OK"))</f>
        <v/>
      </c>
    </row>
    <row r="78">
      <c r="A78" s="18" t="n"/>
      <c r="B78" s="18" t="n"/>
      <c r="C78" s="19" t="n"/>
      <c r="D78" s="19" t="n"/>
      <c r="E78" s="18" t="n"/>
      <c r="F78" s="18" t="n"/>
      <c r="G78" s="18">
        <f>IF(A78="","",E78-F78)</f>
        <v/>
      </c>
      <c r="H78" s="19">
        <f>IF(A78="","",G78*C78)</f>
        <v/>
      </c>
      <c r="I78" s="18" t="n"/>
      <c r="J78" s="18">
        <f>IF(A78="","",IF(G78&lt;=I78,"⚠️ REORDER NA!","OK"))</f>
        <v/>
      </c>
    </row>
    <row r="79">
      <c r="A79" s="18" t="n"/>
      <c r="B79" s="18" t="n"/>
      <c r="C79" s="19" t="n"/>
      <c r="D79" s="19" t="n"/>
      <c r="E79" s="18" t="n"/>
      <c r="F79" s="18" t="n"/>
      <c r="G79" s="18">
        <f>IF(A79="","",E79-F79)</f>
        <v/>
      </c>
      <c r="H79" s="19">
        <f>IF(A79="","",G79*C79)</f>
        <v/>
      </c>
      <c r="I79" s="18" t="n"/>
      <c r="J79" s="18">
        <f>IF(A79="","",IF(G79&lt;=I79,"⚠️ REORDER NA!","OK"))</f>
        <v/>
      </c>
    </row>
    <row r="80">
      <c r="A80" s="18" t="n"/>
      <c r="B80" s="18" t="n"/>
      <c r="C80" s="19" t="n"/>
      <c r="D80" s="19" t="n"/>
      <c r="E80" s="18" t="n"/>
      <c r="F80" s="18" t="n"/>
      <c r="G80" s="18">
        <f>IF(A80="","",E80-F80)</f>
        <v/>
      </c>
      <c r="H80" s="19">
        <f>IF(A80="","",G80*C80)</f>
        <v/>
      </c>
      <c r="I80" s="18" t="n"/>
      <c r="J80" s="18">
        <f>IF(A80="","",IF(G80&lt;=I80,"⚠️ REORDER NA!","OK"))</f>
        <v/>
      </c>
    </row>
    <row r="81">
      <c r="A81" s="18" t="n"/>
      <c r="B81" s="18" t="n"/>
      <c r="C81" s="19" t="n"/>
      <c r="D81" s="19" t="n"/>
      <c r="E81" s="18" t="n"/>
      <c r="F81" s="18" t="n"/>
      <c r="G81" s="18">
        <f>IF(A81="","",E81-F81)</f>
        <v/>
      </c>
      <c r="H81" s="19">
        <f>IF(A81="","",G81*C81)</f>
        <v/>
      </c>
      <c r="I81" s="18" t="n"/>
      <c r="J81" s="18">
        <f>IF(A81="","",IF(G81&lt;=I81,"⚠️ REORDER NA!","OK"))</f>
        <v/>
      </c>
    </row>
    <row r="82">
      <c r="A82" s="18" t="n"/>
      <c r="B82" s="18" t="n"/>
      <c r="C82" s="19" t="n"/>
      <c r="D82" s="19" t="n"/>
      <c r="E82" s="18" t="n"/>
      <c r="F82" s="18" t="n"/>
      <c r="G82" s="18">
        <f>IF(A82="","",E82-F82)</f>
        <v/>
      </c>
      <c r="H82" s="19">
        <f>IF(A82="","",G82*C82)</f>
        <v/>
      </c>
      <c r="I82" s="18" t="n"/>
      <c r="J82" s="18">
        <f>IF(A82="","",IF(G82&lt;=I82,"⚠️ REORDER NA!","OK"))</f>
        <v/>
      </c>
    </row>
    <row r="83">
      <c r="A83" s="18" t="n"/>
      <c r="B83" s="18" t="n"/>
      <c r="C83" s="19" t="n"/>
      <c r="D83" s="19" t="n"/>
      <c r="E83" s="18" t="n"/>
      <c r="F83" s="18" t="n"/>
      <c r="G83" s="18">
        <f>IF(A83="","",E83-F83)</f>
        <v/>
      </c>
      <c r="H83" s="19">
        <f>IF(A83="","",G83*C83)</f>
        <v/>
      </c>
      <c r="I83" s="18" t="n"/>
      <c r="J83" s="18">
        <f>IF(A83="","",IF(G83&lt;=I83,"⚠️ REORDER NA!","OK"))</f>
        <v/>
      </c>
    </row>
    <row r="84">
      <c r="A84" s="18" t="n"/>
      <c r="B84" s="18" t="n"/>
      <c r="C84" s="19" t="n"/>
      <c r="D84" s="19" t="n"/>
      <c r="E84" s="18" t="n"/>
      <c r="F84" s="18" t="n"/>
      <c r="G84" s="18">
        <f>IF(A84="","",E84-F84)</f>
        <v/>
      </c>
      <c r="H84" s="19">
        <f>IF(A84="","",G84*C84)</f>
        <v/>
      </c>
      <c r="I84" s="18" t="n"/>
      <c r="J84" s="18">
        <f>IF(A84="","",IF(G84&lt;=I84,"⚠️ REORDER NA!","OK"))</f>
        <v/>
      </c>
    </row>
    <row r="85">
      <c r="A85" s="18" t="n"/>
      <c r="B85" s="18" t="n"/>
      <c r="C85" s="19" t="n"/>
      <c r="D85" s="19" t="n"/>
      <c r="E85" s="18" t="n"/>
      <c r="F85" s="18" t="n"/>
      <c r="G85" s="18">
        <f>IF(A85="","",E85-F85)</f>
        <v/>
      </c>
      <c r="H85" s="19">
        <f>IF(A85="","",G85*C85)</f>
        <v/>
      </c>
      <c r="I85" s="18" t="n"/>
      <c r="J85" s="18">
        <f>IF(A85="","",IF(G85&lt;=I85,"⚠️ REORDER NA!","OK"))</f>
        <v/>
      </c>
    </row>
    <row r="86">
      <c r="A86" s="18" t="n"/>
      <c r="B86" s="18" t="n"/>
      <c r="C86" s="19" t="n"/>
      <c r="D86" s="19" t="n"/>
      <c r="E86" s="18" t="n"/>
      <c r="F86" s="18" t="n"/>
      <c r="G86" s="18">
        <f>IF(A86="","",E86-F86)</f>
        <v/>
      </c>
      <c r="H86" s="19">
        <f>IF(A86="","",G86*C86)</f>
        <v/>
      </c>
      <c r="I86" s="18" t="n"/>
      <c r="J86" s="18">
        <f>IF(A86="","",IF(G86&lt;=I86,"⚠️ REORDER NA!","OK"))</f>
        <v/>
      </c>
    </row>
    <row r="87">
      <c r="A87" s="18" t="n"/>
      <c r="B87" s="18" t="n"/>
      <c r="C87" s="19" t="n"/>
      <c r="D87" s="19" t="n"/>
      <c r="E87" s="18" t="n"/>
      <c r="F87" s="18" t="n"/>
      <c r="G87" s="18">
        <f>IF(A87="","",E87-F87)</f>
        <v/>
      </c>
      <c r="H87" s="19">
        <f>IF(A87="","",G87*C87)</f>
        <v/>
      </c>
      <c r="I87" s="18" t="n"/>
      <c r="J87" s="18">
        <f>IF(A87="","",IF(G87&lt;=I87,"⚠️ REORDER NA!","OK"))</f>
        <v/>
      </c>
    </row>
    <row r="88">
      <c r="A88" s="18" t="n"/>
      <c r="B88" s="18" t="n"/>
      <c r="C88" s="19" t="n"/>
      <c r="D88" s="19" t="n"/>
      <c r="E88" s="18" t="n"/>
      <c r="F88" s="18" t="n"/>
      <c r="G88" s="18">
        <f>IF(A88="","",E88-F88)</f>
        <v/>
      </c>
      <c r="H88" s="19">
        <f>IF(A88="","",G88*C88)</f>
        <v/>
      </c>
      <c r="I88" s="18" t="n"/>
      <c r="J88" s="18">
        <f>IF(A88="","",IF(G88&lt;=I88,"⚠️ REORDER NA!","OK"))</f>
        <v/>
      </c>
    </row>
    <row r="89">
      <c r="A89" s="18" t="n"/>
      <c r="B89" s="18" t="n"/>
      <c r="C89" s="19" t="n"/>
      <c r="D89" s="19" t="n"/>
      <c r="E89" s="18" t="n"/>
      <c r="F89" s="18" t="n"/>
      <c r="G89" s="18">
        <f>IF(A89="","",E89-F89)</f>
        <v/>
      </c>
      <c r="H89" s="19">
        <f>IF(A89="","",G89*C89)</f>
        <v/>
      </c>
      <c r="I89" s="18" t="n"/>
      <c r="J89" s="18">
        <f>IF(A89="","",IF(G89&lt;=I89,"⚠️ REORDER NA!","OK"))</f>
        <v/>
      </c>
    </row>
    <row r="90">
      <c r="A90" s="18" t="n"/>
      <c r="B90" s="18" t="n"/>
      <c r="C90" s="19" t="n"/>
      <c r="D90" s="19" t="n"/>
      <c r="E90" s="18" t="n"/>
      <c r="F90" s="18" t="n"/>
      <c r="G90" s="18">
        <f>IF(A90="","",E90-F90)</f>
        <v/>
      </c>
      <c r="H90" s="19">
        <f>IF(A90="","",G90*C90)</f>
        <v/>
      </c>
      <c r="I90" s="18" t="n"/>
      <c r="J90" s="18">
        <f>IF(A90="","",IF(G90&lt;=I90,"⚠️ REORDER NA!","OK"))</f>
        <v/>
      </c>
    </row>
    <row r="91">
      <c r="A91" s="18" t="n"/>
      <c r="B91" s="18" t="n"/>
      <c r="C91" s="19" t="n"/>
      <c r="D91" s="19" t="n"/>
      <c r="E91" s="18" t="n"/>
      <c r="F91" s="18" t="n"/>
      <c r="G91" s="18">
        <f>IF(A91="","",E91-F91)</f>
        <v/>
      </c>
      <c r="H91" s="19">
        <f>IF(A91="","",G91*C91)</f>
        <v/>
      </c>
      <c r="I91" s="18" t="n"/>
      <c r="J91" s="18">
        <f>IF(A91="","",IF(G91&lt;=I91,"⚠️ REORDER NA!","OK"))</f>
        <v/>
      </c>
    </row>
    <row r="92">
      <c r="A92" s="18" t="n"/>
      <c r="B92" s="18" t="n"/>
      <c r="C92" s="19" t="n"/>
      <c r="D92" s="19" t="n"/>
      <c r="E92" s="18" t="n"/>
      <c r="F92" s="18" t="n"/>
      <c r="G92" s="18">
        <f>IF(A92="","",E92-F92)</f>
        <v/>
      </c>
      <c r="H92" s="19">
        <f>IF(A92="","",G92*C92)</f>
        <v/>
      </c>
      <c r="I92" s="18" t="n"/>
      <c r="J92" s="18">
        <f>IF(A92="","",IF(G92&lt;=I92,"⚠️ REORDER NA!","OK"))</f>
        <v/>
      </c>
    </row>
    <row r="93">
      <c r="A93" s="18" t="n"/>
      <c r="B93" s="18" t="n"/>
      <c r="C93" s="19" t="n"/>
      <c r="D93" s="19" t="n"/>
      <c r="E93" s="18" t="n"/>
      <c r="F93" s="18" t="n"/>
      <c r="G93" s="18">
        <f>IF(A93="","",E93-F93)</f>
        <v/>
      </c>
      <c r="H93" s="19">
        <f>IF(A93="","",G93*C93)</f>
        <v/>
      </c>
      <c r="I93" s="18" t="n"/>
      <c r="J93" s="18">
        <f>IF(A93="","",IF(G93&lt;=I93,"⚠️ REORDER NA!","OK"))</f>
        <v/>
      </c>
    </row>
    <row r="94">
      <c r="A94" s="18" t="n"/>
      <c r="B94" s="18" t="n"/>
      <c r="C94" s="19" t="n"/>
      <c r="D94" s="19" t="n"/>
      <c r="E94" s="18" t="n"/>
      <c r="F94" s="18" t="n"/>
      <c r="G94" s="18">
        <f>IF(A94="","",E94-F94)</f>
        <v/>
      </c>
      <c r="H94" s="19">
        <f>IF(A94="","",G94*C94)</f>
        <v/>
      </c>
      <c r="I94" s="18" t="n"/>
      <c r="J94" s="18">
        <f>IF(A94="","",IF(G94&lt;=I94,"⚠️ REORDER NA!","OK"))</f>
        <v/>
      </c>
    </row>
    <row r="95">
      <c r="A95" s="18" t="n"/>
      <c r="B95" s="18" t="n"/>
      <c r="C95" s="19" t="n"/>
      <c r="D95" s="19" t="n"/>
      <c r="E95" s="18" t="n"/>
      <c r="F95" s="18" t="n"/>
      <c r="G95" s="18">
        <f>IF(A95="","",E95-F95)</f>
        <v/>
      </c>
      <c r="H95" s="19">
        <f>IF(A95="","",G95*C95)</f>
        <v/>
      </c>
      <c r="I95" s="18" t="n"/>
      <c r="J95" s="18">
        <f>IF(A95="","",IF(G95&lt;=I95,"⚠️ REORDER NA!","OK"))</f>
        <v/>
      </c>
    </row>
    <row r="96">
      <c r="A96" s="18" t="n"/>
      <c r="B96" s="18" t="n"/>
      <c r="C96" s="19" t="n"/>
      <c r="D96" s="19" t="n"/>
      <c r="E96" s="18" t="n"/>
      <c r="F96" s="18" t="n"/>
      <c r="G96" s="18">
        <f>IF(A96="","",E96-F96)</f>
        <v/>
      </c>
      <c r="H96" s="19">
        <f>IF(A96="","",G96*C96)</f>
        <v/>
      </c>
      <c r="I96" s="18" t="n"/>
      <c r="J96" s="18">
        <f>IF(A96="","",IF(G96&lt;=I96,"⚠️ REORDER NA!","OK"))</f>
        <v/>
      </c>
    </row>
    <row r="97">
      <c r="A97" s="18" t="n"/>
      <c r="B97" s="18" t="n"/>
      <c r="C97" s="19" t="n"/>
      <c r="D97" s="19" t="n"/>
      <c r="E97" s="18" t="n"/>
      <c r="F97" s="18" t="n"/>
      <c r="G97" s="18">
        <f>IF(A97="","",E97-F97)</f>
        <v/>
      </c>
      <c r="H97" s="19">
        <f>IF(A97="","",G97*C97)</f>
        <v/>
      </c>
      <c r="I97" s="18" t="n"/>
      <c r="J97" s="18">
        <f>IF(A97="","",IF(G97&lt;=I97,"⚠️ REORDER NA!","OK"))</f>
        <v/>
      </c>
    </row>
    <row r="98">
      <c r="A98" s="18" t="n"/>
      <c r="B98" s="18" t="n"/>
      <c r="C98" s="19" t="n"/>
      <c r="D98" s="19" t="n"/>
      <c r="E98" s="18" t="n"/>
      <c r="F98" s="18" t="n"/>
      <c r="G98" s="18">
        <f>IF(A98="","",E98-F98)</f>
        <v/>
      </c>
      <c r="H98" s="19">
        <f>IF(A98="","",G98*C98)</f>
        <v/>
      </c>
      <c r="I98" s="18" t="n"/>
      <c r="J98" s="18">
        <f>IF(A98="","",IF(G98&lt;=I98,"⚠️ REORDER NA!","OK"))</f>
        <v/>
      </c>
    </row>
    <row r="99">
      <c r="A99" s="18" t="n"/>
      <c r="B99" s="18" t="n"/>
      <c r="C99" s="19" t="n"/>
      <c r="D99" s="19" t="n"/>
      <c r="E99" s="18" t="n"/>
      <c r="F99" s="18" t="n"/>
      <c r="G99" s="18">
        <f>IF(A99="","",E99-F99)</f>
        <v/>
      </c>
      <c r="H99" s="19">
        <f>IF(A99="","",G99*C99)</f>
        <v/>
      </c>
      <c r="I99" s="18" t="n"/>
      <c r="J99" s="18">
        <f>IF(A99="","",IF(G99&lt;=I99,"⚠️ REORDER NA!","OK"))</f>
        <v/>
      </c>
    </row>
    <row r="100">
      <c r="A100" s="18" t="n"/>
      <c r="B100" s="18" t="n"/>
      <c r="C100" s="19" t="n"/>
      <c r="D100" s="19" t="n"/>
      <c r="E100" s="18" t="n"/>
      <c r="F100" s="18" t="n"/>
      <c r="G100" s="18">
        <f>IF(A100="","",E100-F100)</f>
        <v/>
      </c>
      <c r="H100" s="19">
        <f>IF(A100="","",G100*C100)</f>
        <v/>
      </c>
      <c r="I100" s="18" t="n"/>
      <c r="J100" s="18">
        <f>IF(A100="","",IF(G100&lt;=I100,"⚠️ REORDER NA!","OK"))</f>
        <v/>
      </c>
    </row>
    <row r="101">
      <c r="A101" s="18" t="n"/>
      <c r="B101" s="18" t="n"/>
      <c r="C101" s="19" t="n"/>
      <c r="D101" s="19" t="n"/>
      <c r="E101" s="18" t="n"/>
      <c r="F101" s="18" t="n"/>
      <c r="G101" s="18">
        <f>IF(A101="","",E101-F101)</f>
        <v/>
      </c>
      <c r="H101" s="19">
        <f>IF(A101="","",G101*C101)</f>
        <v/>
      </c>
      <c r="I101" s="18" t="n"/>
      <c r="J101" s="18">
        <f>IF(A101="","",IF(G101&lt;=I101,"⚠️ REORDER NA!","OK"))</f>
        <v/>
      </c>
    </row>
    <row r="102">
      <c r="A102" s="18" t="n"/>
      <c r="B102" s="18" t="n"/>
      <c r="C102" s="19" t="n"/>
      <c r="D102" s="19" t="n"/>
      <c r="E102" s="18" t="n"/>
      <c r="F102" s="18" t="n"/>
      <c r="G102" s="18">
        <f>IF(A102="","",E102-F102)</f>
        <v/>
      </c>
      <c r="H102" s="19">
        <f>IF(A102="","",G102*C102)</f>
        <v/>
      </c>
      <c r="I102" s="18" t="n"/>
      <c r="J102" s="18">
        <f>IF(A102="","",IF(G102&lt;=I102,"⚠️ REORDER NA!","OK"))</f>
        <v/>
      </c>
    </row>
    <row r="103">
      <c r="A103" s="18" t="n"/>
      <c r="B103" s="18" t="n"/>
      <c r="C103" s="19" t="n"/>
      <c r="D103" s="19" t="n"/>
      <c r="E103" s="18" t="n"/>
      <c r="F103" s="18" t="n"/>
      <c r="G103" s="18">
        <f>IF(A103="","",E103-F103)</f>
        <v/>
      </c>
      <c r="H103" s="19">
        <f>IF(A103="","",G103*C103)</f>
        <v/>
      </c>
      <c r="I103" s="18" t="n"/>
      <c r="J103" s="18">
        <f>IF(A103="","",IF(G103&lt;=I103,"⚠️ REORDER NA!","OK"))</f>
        <v/>
      </c>
    </row>
    <row r="104">
      <c r="A104" s="18" t="n"/>
      <c r="B104" s="18" t="n"/>
      <c r="C104" s="19" t="n"/>
      <c r="D104" s="19" t="n"/>
      <c r="E104" s="18" t="n"/>
      <c r="F104" s="18" t="n"/>
      <c r="G104" s="18">
        <f>IF(A104="","",E104-F104)</f>
        <v/>
      </c>
      <c r="H104" s="19">
        <f>IF(A104="","",G104*C104)</f>
        <v/>
      </c>
      <c r="I104" s="18" t="n"/>
      <c r="J104" s="18">
        <f>IF(A104="","",IF(G104&lt;=I104,"⚠️ REORDER NA!","OK"))</f>
        <v/>
      </c>
    </row>
    <row r="105">
      <c r="A105" s="18" t="n"/>
      <c r="B105" s="18" t="n"/>
      <c r="C105" s="19" t="n"/>
      <c r="D105" s="19" t="n"/>
      <c r="E105" s="18" t="n"/>
      <c r="F105" s="18" t="n"/>
      <c r="G105" s="18">
        <f>IF(A105="","",E105-F105)</f>
        <v/>
      </c>
      <c r="H105" s="19">
        <f>IF(A105="","",G105*C105)</f>
        <v/>
      </c>
      <c r="I105" s="18" t="n"/>
      <c r="J105" s="18">
        <f>IF(A105="","",IF(G105&lt;=I105,"⚠️ REORDER NA!","OK"))</f>
        <v/>
      </c>
    </row>
    <row r="106">
      <c r="A106" s="18" t="n"/>
      <c r="B106" s="18" t="n"/>
      <c r="C106" s="19" t="n"/>
      <c r="D106" s="19" t="n"/>
      <c r="E106" s="18" t="n"/>
      <c r="F106" s="18" t="n"/>
      <c r="G106" s="18">
        <f>IF(A106="","",E106-F106)</f>
        <v/>
      </c>
      <c r="H106" s="19">
        <f>IF(A106="","",G106*C106)</f>
        <v/>
      </c>
      <c r="I106" s="18" t="n"/>
      <c r="J106" s="18">
        <f>IF(A106="","",IF(G106&lt;=I106,"⚠️ REORDER NA!","OK"))</f>
        <v/>
      </c>
    </row>
    <row r="107">
      <c r="A107" s="18" t="n"/>
      <c r="B107" s="18" t="n"/>
      <c r="C107" s="19" t="n"/>
      <c r="D107" s="19" t="n"/>
      <c r="E107" s="18" t="n"/>
      <c r="F107" s="18" t="n"/>
      <c r="G107" s="18">
        <f>IF(A107="","",E107-F107)</f>
        <v/>
      </c>
      <c r="H107" s="19">
        <f>IF(A107="","",G107*C107)</f>
        <v/>
      </c>
      <c r="I107" s="18" t="n"/>
      <c r="J107" s="18">
        <f>IF(A107="","",IF(G107&lt;=I107,"⚠️ REORDER NA!","OK"))</f>
        <v/>
      </c>
    </row>
    <row r="108">
      <c r="A108" s="18" t="n"/>
      <c r="B108" s="18" t="n"/>
      <c r="C108" s="19" t="n"/>
      <c r="D108" s="19" t="n"/>
      <c r="E108" s="18" t="n"/>
      <c r="F108" s="18" t="n"/>
      <c r="G108" s="18">
        <f>IF(A108="","",E108-F108)</f>
        <v/>
      </c>
      <c r="H108" s="19">
        <f>IF(A108="","",G108*C108)</f>
        <v/>
      </c>
      <c r="I108" s="18" t="n"/>
      <c r="J108" s="18">
        <f>IF(A108="","",IF(G108&lt;=I108,"⚠️ REORDER NA!","OK"))</f>
        <v/>
      </c>
    </row>
    <row r="109">
      <c r="A109" s="18" t="n"/>
      <c r="B109" s="18" t="n"/>
      <c r="C109" s="19" t="n"/>
      <c r="D109" s="19" t="n"/>
      <c r="E109" s="18" t="n"/>
      <c r="F109" s="18" t="n"/>
      <c r="G109" s="18">
        <f>IF(A109="","",E109-F109)</f>
        <v/>
      </c>
      <c r="H109" s="19">
        <f>IF(A109="","",G109*C109)</f>
        <v/>
      </c>
      <c r="I109" s="18" t="n"/>
      <c r="J109" s="18">
        <f>IF(A109="","",IF(G109&lt;=I109,"⚠️ REORDER NA!","OK"))</f>
        <v/>
      </c>
    </row>
    <row r="110">
      <c r="A110" s="18" t="n"/>
      <c r="B110" s="18" t="n"/>
      <c r="C110" s="19" t="n"/>
      <c r="D110" s="19" t="n"/>
      <c r="E110" s="18" t="n"/>
      <c r="F110" s="18" t="n"/>
      <c r="G110" s="18">
        <f>IF(A110="","",E110-F110)</f>
        <v/>
      </c>
      <c r="H110" s="19">
        <f>IF(A110="","",G110*C110)</f>
        <v/>
      </c>
      <c r="I110" s="18" t="n"/>
      <c r="J110" s="18">
        <f>IF(A110="","",IF(G110&lt;=I110,"⚠️ REORDER NA!","OK"))</f>
        <v/>
      </c>
    </row>
    <row r="111">
      <c r="A111" s="18" t="n"/>
      <c r="B111" s="18" t="n"/>
      <c r="C111" s="19" t="n"/>
      <c r="D111" s="19" t="n"/>
      <c r="E111" s="18" t="n"/>
      <c r="F111" s="18" t="n"/>
      <c r="G111" s="18">
        <f>IF(A111="","",E111-F111)</f>
        <v/>
      </c>
      <c r="H111" s="19">
        <f>IF(A111="","",G111*C111)</f>
        <v/>
      </c>
      <c r="I111" s="18" t="n"/>
      <c r="J111" s="18">
        <f>IF(A111="","",IF(G111&lt;=I111,"⚠️ REORDER NA!","OK"))</f>
        <v/>
      </c>
    </row>
    <row r="112">
      <c r="A112" s="18" t="n"/>
      <c r="B112" s="18" t="n"/>
      <c r="C112" s="19" t="n"/>
      <c r="D112" s="19" t="n"/>
      <c r="E112" s="18" t="n"/>
      <c r="F112" s="18" t="n"/>
      <c r="G112" s="18">
        <f>IF(A112="","",E112-F112)</f>
        <v/>
      </c>
      <c r="H112" s="19">
        <f>IF(A112="","",G112*C112)</f>
        <v/>
      </c>
      <c r="I112" s="18" t="n"/>
      <c r="J112" s="18">
        <f>IF(A112="","",IF(G112&lt;=I112,"⚠️ REORDER NA!","OK"))</f>
        <v/>
      </c>
    </row>
    <row r="113">
      <c r="A113" s="18" t="n"/>
      <c r="B113" s="18" t="n"/>
      <c r="C113" s="19" t="n"/>
      <c r="D113" s="19" t="n"/>
      <c r="E113" s="18" t="n"/>
      <c r="F113" s="18" t="n"/>
      <c r="G113" s="18">
        <f>IF(A113="","",E113-F113)</f>
        <v/>
      </c>
      <c r="H113" s="19">
        <f>IF(A113="","",G113*C113)</f>
        <v/>
      </c>
      <c r="I113" s="18" t="n"/>
      <c r="J113" s="18">
        <f>IF(A113="","",IF(G113&lt;=I113,"⚠️ REORDER NA!","OK"))</f>
        <v/>
      </c>
    </row>
    <row r="114">
      <c r="A114" s="18" t="n"/>
      <c r="B114" s="18" t="n"/>
      <c r="C114" s="19" t="n"/>
      <c r="D114" s="19" t="n"/>
      <c r="E114" s="18" t="n"/>
      <c r="F114" s="18" t="n"/>
      <c r="G114" s="18">
        <f>IF(A114="","",E114-F114)</f>
        <v/>
      </c>
      <c r="H114" s="19">
        <f>IF(A114="","",G114*C114)</f>
        <v/>
      </c>
      <c r="I114" s="18" t="n"/>
      <c r="J114" s="18">
        <f>IF(A114="","",IF(G114&lt;=I114,"⚠️ REORDER NA!","OK"))</f>
        <v/>
      </c>
    </row>
    <row r="115">
      <c r="A115" s="18" t="n"/>
      <c r="B115" s="18" t="n"/>
      <c r="C115" s="19" t="n"/>
      <c r="D115" s="19" t="n"/>
      <c r="E115" s="18" t="n"/>
      <c r="F115" s="18" t="n"/>
      <c r="G115" s="18">
        <f>IF(A115="","",E115-F115)</f>
        <v/>
      </c>
      <c r="H115" s="19">
        <f>IF(A115="","",G115*C115)</f>
        <v/>
      </c>
      <c r="I115" s="18" t="n"/>
      <c r="J115" s="18">
        <f>IF(A115="","",IF(G115&lt;=I115,"⚠️ REORDER NA!","OK"))</f>
        <v/>
      </c>
    </row>
    <row r="116">
      <c r="A116" s="18" t="n"/>
      <c r="B116" s="18" t="n"/>
      <c r="C116" s="19" t="n"/>
      <c r="D116" s="19" t="n"/>
      <c r="E116" s="18" t="n"/>
      <c r="F116" s="18" t="n"/>
      <c r="G116" s="18">
        <f>IF(A116="","",E116-F116)</f>
        <v/>
      </c>
      <c r="H116" s="19">
        <f>IF(A116="","",G116*C116)</f>
        <v/>
      </c>
      <c r="I116" s="18" t="n"/>
      <c r="J116" s="18">
        <f>IF(A116="","",IF(G116&lt;=I116,"⚠️ REORDER NA!","OK"))</f>
        <v/>
      </c>
    </row>
    <row r="117">
      <c r="A117" s="18" t="n"/>
      <c r="B117" s="18" t="n"/>
      <c r="C117" s="19" t="n"/>
      <c r="D117" s="19" t="n"/>
      <c r="E117" s="18" t="n"/>
      <c r="F117" s="18" t="n"/>
      <c r="G117" s="18">
        <f>IF(A117="","",E117-F117)</f>
        <v/>
      </c>
      <c r="H117" s="19">
        <f>IF(A117="","",G117*C117)</f>
        <v/>
      </c>
      <c r="I117" s="18" t="n"/>
      <c r="J117" s="18">
        <f>IF(A117="","",IF(G117&lt;=I117,"⚠️ REORDER NA!","OK"))</f>
        <v/>
      </c>
    </row>
    <row r="118">
      <c r="A118" s="18" t="n"/>
      <c r="B118" s="18" t="n"/>
      <c r="C118" s="19" t="n"/>
      <c r="D118" s="19" t="n"/>
      <c r="E118" s="18" t="n"/>
      <c r="F118" s="18" t="n"/>
      <c r="G118" s="18">
        <f>IF(A118="","",E118-F118)</f>
        <v/>
      </c>
      <c r="H118" s="19">
        <f>IF(A118="","",G118*C118)</f>
        <v/>
      </c>
      <c r="I118" s="18" t="n"/>
      <c r="J118" s="18">
        <f>IF(A118="","",IF(G118&lt;=I118,"⚠️ REORDER NA!","OK"))</f>
        <v/>
      </c>
    </row>
    <row r="119">
      <c r="A119" s="18" t="n"/>
      <c r="B119" s="18" t="n"/>
      <c r="C119" s="19" t="n"/>
      <c r="D119" s="19" t="n"/>
      <c r="E119" s="18" t="n"/>
      <c r="F119" s="18" t="n"/>
      <c r="G119" s="18">
        <f>IF(A119="","",E119-F119)</f>
        <v/>
      </c>
      <c r="H119" s="19">
        <f>IF(A119="","",G119*C119)</f>
        <v/>
      </c>
      <c r="I119" s="18" t="n"/>
      <c r="J119" s="18">
        <f>IF(A119="","",IF(G119&lt;=I119,"⚠️ REORDER NA!","OK"))</f>
        <v/>
      </c>
    </row>
    <row r="120">
      <c r="A120" s="18" t="n"/>
      <c r="B120" s="18" t="n"/>
      <c r="C120" s="19" t="n"/>
      <c r="D120" s="19" t="n"/>
      <c r="E120" s="18" t="n"/>
      <c r="F120" s="18" t="n"/>
      <c r="G120" s="18">
        <f>IF(A120="","",E120-F120)</f>
        <v/>
      </c>
      <c r="H120" s="19">
        <f>IF(A120="","",G120*C120)</f>
        <v/>
      </c>
      <c r="I120" s="18" t="n"/>
      <c r="J120" s="18">
        <f>IF(A120="","",IF(G120&lt;=I120,"⚠️ REORDER NA!","OK"))</f>
        <v/>
      </c>
    </row>
    <row r="121">
      <c r="A121" s="18" t="n"/>
      <c r="B121" s="18" t="n"/>
      <c r="C121" s="19" t="n"/>
      <c r="D121" s="19" t="n"/>
      <c r="E121" s="18" t="n"/>
      <c r="F121" s="18" t="n"/>
      <c r="G121" s="18">
        <f>IF(A121="","",E121-F121)</f>
        <v/>
      </c>
      <c r="H121" s="19">
        <f>IF(A121="","",G121*C121)</f>
        <v/>
      </c>
      <c r="I121" s="18" t="n"/>
      <c r="J121" s="18">
        <f>IF(A121="","",IF(G121&lt;=I121,"⚠️ REORDER NA!","OK"))</f>
        <v/>
      </c>
    </row>
    <row r="122">
      <c r="A122" s="18" t="n"/>
      <c r="B122" s="18" t="n"/>
      <c r="C122" s="19" t="n"/>
      <c r="D122" s="19" t="n"/>
      <c r="E122" s="18" t="n"/>
      <c r="F122" s="18" t="n"/>
      <c r="G122" s="18">
        <f>IF(A122="","",E122-F122)</f>
        <v/>
      </c>
      <c r="H122" s="19">
        <f>IF(A122="","",G122*C122)</f>
        <v/>
      </c>
      <c r="I122" s="18" t="n"/>
      <c r="J122" s="18">
        <f>IF(A122="","",IF(G122&lt;=I122,"⚠️ REORDER NA!","OK"))</f>
        <v/>
      </c>
    </row>
    <row r="123">
      <c r="A123" s="18" t="n"/>
      <c r="B123" s="18" t="n"/>
      <c r="C123" s="19" t="n"/>
      <c r="D123" s="19" t="n"/>
      <c r="E123" s="18" t="n"/>
      <c r="F123" s="18" t="n"/>
      <c r="G123" s="18">
        <f>IF(A123="","",E123-F123)</f>
        <v/>
      </c>
      <c r="H123" s="19">
        <f>IF(A123="","",G123*C123)</f>
        <v/>
      </c>
      <c r="I123" s="18" t="n"/>
      <c r="J123" s="18">
        <f>IF(A123="","",IF(G123&lt;=I123,"⚠️ REORDER NA!","OK"))</f>
        <v/>
      </c>
    </row>
    <row r="124">
      <c r="A124" s="18" t="n"/>
      <c r="B124" s="18" t="n"/>
      <c r="C124" s="19" t="n"/>
      <c r="D124" s="19" t="n"/>
      <c r="E124" s="18" t="n"/>
      <c r="F124" s="18" t="n"/>
      <c r="G124" s="18">
        <f>IF(A124="","",E124-F124)</f>
        <v/>
      </c>
      <c r="H124" s="19">
        <f>IF(A124="","",G124*C124)</f>
        <v/>
      </c>
      <c r="I124" s="18" t="n"/>
      <c r="J124" s="18">
        <f>IF(A124="","",IF(G124&lt;=I124,"⚠️ REORDER NA!","OK"))</f>
        <v/>
      </c>
    </row>
    <row r="125">
      <c r="A125" s="18" t="n"/>
      <c r="B125" s="18" t="n"/>
      <c r="C125" s="19" t="n"/>
      <c r="D125" s="19" t="n"/>
      <c r="E125" s="18" t="n"/>
      <c r="F125" s="18" t="n"/>
      <c r="G125" s="18">
        <f>IF(A125="","",E125-F125)</f>
        <v/>
      </c>
      <c r="H125" s="19">
        <f>IF(A125="","",G125*C125)</f>
        <v/>
      </c>
      <c r="I125" s="18" t="n"/>
      <c r="J125" s="18">
        <f>IF(A125="","",IF(G125&lt;=I125,"⚠️ REORDER NA!","OK"))</f>
        <v/>
      </c>
    </row>
    <row r="126">
      <c r="A126" s="18" t="n"/>
      <c r="B126" s="18" t="n"/>
      <c r="C126" s="19" t="n"/>
      <c r="D126" s="19" t="n"/>
      <c r="E126" s="18" t="n"/>
      <c r="F126" s="18" t="n"/>
      <c r="G126" s="18">
        <f>IF(A126="","",E126-F126)</f>
        <v/>
      </c>
      <c r="H126" s="19">
        <f>IF(A126="","",G126*C126)</f>
        <v/>
      </c>
      <c r="I126" s="18" t="n"/>
      <c r="J126" s="18">
        <f>IF(A126="","",IF(G126&lt;=I126,"⚠️ REORDER NA!","OK"))</f>
        <v/>
      </c>
    </row>
    <row r="127">
      <c r="A127" s="18" t="n"/>
      <c r="B127" s="18" t="n"/>
      <c r="C127" s="19" t="n"/>
      <c r="D127" s="19" t="n"/>
      <c r="E127" s="18" t="n"/>
      <c r="F127" s="18" t="n"/>
      <c r="G127" s="18">
        <f>IF(A127="","",E127-F127)</f>
        <v/>
      </c>
      <c r="H127" s="19">
        <f>IF(A127="","",G127*C127)</f>
        <v/>
      </c>
      <c r="I127" s="18" t="n"/>
      <c r="J127" s="18">
        <f>IF(A127="","",IF(G127&lt;=I127,"⚠️ REORDER NA!","OK"))</f>
        <v/>
      </c>
    </row>
    <row r="128">
      <c r="A128" s="18" t="n"/>
      <c r="B128" s="18" t="n"/>
      <c r="C128" s="19" t="n"/>
      <c r="D128" s="19" t="n"/>
      <c r="E128" s="18" t="n"/>
      <c r="F128" s="18" t="n"/>
      <c r="G128" s="18">
        <f>IF(A128="","",E128-F128)</f>
        <v/>
      </c>
      <c r="H128" s="19">
        <f>IF(A128="","",G128*C128)</f>
        <v/>
      </c>
      <c r="I128" s="18" t="n"/>
      <c r="J128" s="18">
        <f>IF(A128="","",IF(G128&lt;=I128,"⚠️ REORDER NA!","OK"))</f>
        <v/>
      </c>
    </row>
    <row r="129">
      <c r="A129" s="18" t="n"/>
      <c r="B129" s="18" t="n"/>
      <c r="C129" s="19" t="n"/>
      <c r="D129" s="19" t="n"/>
      <c r="E129" s="18" t="n"/>
      <c r="F129" s="18" t="n"/>
      <c r="G129" s="18">
        <f>IF(A129="","",E129-F129)</f>
        <v/>
      </c>
      <c r="H129" s="19">
        <f>IF(A129="","",G129*C129)</f>
        <v/>
      </c>
      <c r="I129" s="18" t="n"/>
      <c r="J129" s="18">
        <f>IF(A129="","",IF(G129&lt;=I129,"⚠️ REORDER NA!","OK"))</f>
        <v/>
      </c>
    </row>
    <row r="130">
      <c r="A130" s="18" t="n"/>
      <c r="B130" s="18" t="n"/>
      <c r="C130" s="19" t="n"/>
      <c r="D130" s="19" t="n"/>
      <c r="E130" s="18" t="n"/>
      <c r="F130" s="18" t="n"/>
      <c r="G130" s="18">
        <f>IF(A130="","",E130-F130)</f>
        <v/>
      </c>
      <c r="H130" s="19">
        <f>IF(A130="","",G130*C130)</f>
        <v/>
      </c>
      <c r="I130" s="18" t="n"/>
      <c r="J130" s="18">
        <f>IF(A130="","",IF(G130&lt;=I130,"⚠️ REORDER NA!","OK"))</f>
        <v/>
      </c>
    </row>
    <row r="131">
      <c r="A131" s="18" t="n"/>
      <c r="B131" s="18" t="n"/>
      <c r="C131" s="19" t="n"/>
      <c r="D131" s="19" t="n"/>
      <c r="E131" s="18" t="n"/>
      <c r="F131" s="18" t="n"/>
      <c r="G131" s="18">
        <f>IF(A131="","",E131-F131)</f>
        <v/>
      </c>
      <c r="H131" s="19">
        <f>IF(A131="","",G131*C131)</f>
        <v/>
      </c>
      <c r="I131" s="18" t="n"/>
      <c r="J131" s="18">
        <f>IF(A131="","",IF(G131&lt;=I131,"⚠️ REORDER NA!","OK"))</f>
        <v/>
      </c>
    </row>
    <row r="132">
      <c r="A132" s="18" t="n"/>
      <c r="B132" s="18" t="n"/>
      <c r="C132" s="19" t="n"/>
      <c r="D132" s="19" t="n"/>
      <c r="E132" s="18" t="n"/>
      <c r="F132" s="18" t="n"/>
      <c r="G132" s="18">
        <f>IF(A132="","",E132-F132)</f>
        <v/>
      </c>
      <c r="H132" s="19">
        <f>IF(A132="","",G132*C132)</f>
        <v/>
      </c>
      <c r="I132" s="18" t="n"/>
      <c r="J132" s="18">
        <f>IF(A132="","",IF(G132&lt;=I132,"⚠️ REORDER NA!","OK"))</f>
        <v/>
      </c>
    </row>
    <row r="133">
      <c r="A133" s="18" t="n"/>
      <c r="B133" s="18" t="n"/>
      <c r="C133" s="19" t="n"/>
      <c r="D133" s="19" t="n"/>
      <c r="E133" s="18" t="n"/>
      <c r="F133" s="18" t="n"/>
      <c r="G133" s="18">
        <f>IF(A133="","",E133-F133)</f>
        <v/>
      </c>
      <c r="H133" s="19">
        <f>IF(A133="","",G133*C133)</f>
        <v/>
      </c>
      <c r="I133" s="18" t="n"/>
      <c r="J133" s="18">
        <f>IF(A133="","",IF(G133&lt;=I133,"⚠️ REORDER NA!","OK"))</f>
        <v/>
      </c>
    </row>
    <row r="134">
      <c r="A134" s="18" t="n"/>
      <c r="B134" s="18" t="n"/>
      <c r="C134" s="19" t="n"/>
      <c r="D134" s="19" t="n"/>
      <c r="E134" s="18" t="n"/>
      <c r="F134" s="18" t="n"/>
      <c r="G134" s="18">
        <f>IF(A134="","",E134-F134)</f>
        <v/>
      </c>
      <c r="H134" s="19">
        <f>IF(A134="","",G134*C134)</f>
        <v/>
      </c>
      <c r="I134" s="18" t="n"/>
      <c r="J134" s="18">
        <f>IF(A134="","",IF(G134&lt;=I134,"⚠️ REORDER NA!","OK"))</f>
        <v/>
      </c>
    </row>
    <row r="135">
      <c r="A135" s="18" t="n"/>
      <c r="B135" s="18" t="n"/>
      <c r="C135" s="19" t="n"/>
      <c r="D135" s="19" t="n"/>
      <c r="E135" s="18" t="n"/>
      <c r="F135" s="18" t="n"/>
      <c r="G135" s="18">
        <f>IF(A135="","",E135-F135)</f>
        <v/>
      </c>
      <c r="H135" s="19">
        <f>IF(A135="","",G135*C135)</f>
        <v/>
      </c>
      <c r="I135" s="18" t="n"/>
      <c r="J135" s="18">
        <f>IF(A135="","",IF(G135&lt;=I135,"⚠️ REORDER NA!","OK"))</f>
        <v/>
      </c>
    </row>
    <row r="136">
      <c r="A136" s="18" t="n"/>
      <c r="B136" s="18" t="n"/>
      <c r="C136" s="19" t="n"/>
      <c r="D136" s="19" t="n"/>
      <c r="E136" s="18" t="n"/>
      <c r="F136" s="18" t="n"/>
      <c r="G136" s="18">
        <f>IF(A136="","",E136-F136)</f>
        <v/>
      </c>
      <c r="H136" s="19">
        <f>IF(A136="","",G136*C136)</f>
        <v/>
      </c>
      <c r="I136" s="18" t="n"/>
      <c r="J136" s="18">
        <f>IF(A136="","",IF(G136&lt;=I136,"⚠️ REORDER NA!","OK"))</f>
        <v/>
      </c>
    </row>
    <row r="137">
      <c r="A137" s="18" t="n"/>
      <c r="B137" s="18" t="n"/>
      <c r="C137" s="19" t="n"/>
      <c r="D137" s="19" t="n"/>
      <c r="E137" s="18" t="n"/>
      <c r="F137" s="18" t="n"/>
      <c r="G137" s="18">
        <f>IF(A137="","",E137-F137)</f>
        <v/>
      </c>
      <c r="H137" s="19">
        <f>IF(A137="","",G137*C137)</f>
        <v/>
      </c>
      <c r="I137" s="18" t="n"/>
      <c r="J137" s="18">
        <f>IF(A137="","",IF(G137&lt;=I137,"⚠️ REORDER NA!","OK"))</f>
        <v/>
      </c>
    </row>
    <row r="138">
      <c r="A138" s="18" t="n"/>
      <c r="B138" s="18" t="n"/>
      <c r="C138" s="19" t="n"/>
      <c r="D138" s="19" t="n"/>
      <c r="E138" s="18" t="n"/>
      <c r="F138" s="18" t="n"/>
      <c r="G138" s="18">
        <f>IF(A138="","",E138-F138)</f>
        <v/>
      </c>
      <c r="H138" s="19">
        <f>IF(A138="","",G138*C138)</f>
        <v/>
      </c>
      <c r="I138" s="18" t="n"/>
      <c r="J138" s="18">
        <f>IF(A138="","",IF(G138&lt;=I138,"⚠️ REORDER NA!","OK"))</f>
        <v/>
      </c>
    </row>
    <row r="139">
      <c r="A139" s="18" t="n"/>
      <c r="B139" s="18" t="n"/>
      <c r="C139" s="19" t="n"/>
      <c r="D139" s="19" t="n"/>
      <c r="E139" s="18" t="n"/>
      <c r="F139" s="18" t="n"/>
      <c r="G139" s="18">
        <f>IF(A139="","",E139-F139)</f>
        <v/>
      </c>
      <c r="H139" s="19">
        <f>IF(A139="","",G139*C139)</f>
        <v/>
      </c>
      <c r="I139" s="18" t="n"/>
      <c r="J139" s="18">
        <f>IF(A139="","",IF(G139&lt;=I139,"⚠️ REORDER NA!","OK"))</f>
        <v/>
      </c>
    </row>
    <row r="140">
      <c r="A140" s="18" t="n"/>
      <c r="B140" s="18" t="n"/>
      <c r="C140" s="19" t="n"/>
      <c r="D140" s="19" t="n"/>
      <c r="E140" s="18" t="n"/>
      <c r="F140" s="18" t="n"/>
      <c r="G140" s="18">
        <f>IF(A140="","",E140-F140)</f>
        <v/>
      </c>
      <c r="H140" s="19">
        <f>IF(A140="","",G140*C140)</f>
        <v/>
      </c>
      <c r="I140" s="18" t="n"/>
      <c r="J140" s="18">
        <f>IF(A140="","",IF(G140&lt;=I140,"⚠️ REORDER NA!","OK"))</f>
        <v/>
      </c>
    </row>
    <row r="141">
      <c r="A141" s="18" t="n"/>
      <c r="B141" s="18" t="n"/>
      <c r="C141" s="19" t="n"/>
      <c r="D141" s="19" t="n"/>
      <c r="E141" s="18" t="n"/>
      <c r="F141" s="18" t="n"/>
      <c r="G141" s="18">
        <f>IF(A141="","",E141-F141)</f>
        <v/>
      </c>
      <c r="H141" s="19">
        <f>IF(A141="","",G141*C141)</f>
        <v/>
      </c>
      <c r="I141" s="18" t="n"/>
      <c r="J141" s="18">
        <f>IF(A141="","",IF(G141&lt;=I141,"⚠️ REORDER NA!","OK"))</f>
        <v/>
      </c>
    </row>
    <row r="142">
      <c r="A142" s="18" t="n"/>
      <c r="B142" s="18" t="n"/>
      <c r="C142" s="19" t="n"/>
      <c r="D142" s="19" t="n"/>
      <c r="E142" s="18" t="n"/>
      <c r="F142" s="18" t="n"/>
      <c r="G142" s="18">
        <f>IF(A142="","",E142-F142)</f>
        <v/>
      </c>
      <c r="H142" s="19">
        <f>IF(A142="","",G142*C142)</f>
        <v/>
      </c>
      <c r="I142" s="18" t="n"/>
      <c r="J142" s="18">
        <f>IF(A142="","",IF(G142&lt;=I142,"⚠️ REORDER NA!","OK"))</f>
        <v/>
      </c>
    </row>
    <row r="143">
      <c r="A143" s="18" t="n"/>
      <c r="B143" s="18" t="n"/>
      <c r="C143" s="19" t="n"/>
      <c r="D143" s="19" t="n"/>
      <c r="E143" s="18" t="n"/>
      <c r="F143" s="18" t="n"/>
      <c r="G143" s="18">
        <f>IF(A143="","",E143-F143)</f>
        <v/>
      </c>
      <c r="H143" s="19">
        <f>IF(A143="","",G143*C143)</f>
        <v/>
      </c>
      <c r="I143" s="18" t="n"/>
      <c r="J143" s="18">
        <f>IF(A143="","",IF(G143&lt;=I143,"⚠️ REORDER NA!","OK"))</f>
        <v/>
      </c>
    </row>
    <row r="144">
      <c r="A144" s="18" t="n"/>
      <c r="B144" s="18" t="n"/>
      <c r="C144" s="19" t="n"/>
      <c r="D144" s="19" t="n"/>
      <c r="E144" s="18" t="n"/>
      <c r="F144" s="18" t="n"/>
      <c r="G144" s="18">
        <f>IF(A144="","",E144-F144)</f>
        <v/>
      </c>
      <c r="H144" s="19">
        <f>IF(A144="","",G144*C144)</f>
        <v/>
      </c>
      <c r="I144" s="18" t="n"/>
      <c r="J144" s="18">
        <f>IF(A144="","",IF(G144&lt;=I144,"⚠️ REORDER NA!","OK"))</f>
        <v/>
      </c>
    </row>
    <row r="145">
      <c r="A145" s="18" t="n"/>
      <c r="B145" s="18" t="n"/>
      <c r="C145" s="19" t="n"/>
      <c r="D145" s="19" t="n"/>
      <c r="E145" s="18" t="n"/>
      <c r="F145" s="18" t="n"/>
      <c r="G145" s="18">
        <f>IF(A145="","",E145-F145)</f>
        <v/>
      </c>
      <c r="H145" s="19">
        <f>IF(A145="","",G145*C145)</f>
        <v/>
      </c>
      <c r="I145" s="18" t="n"/>
      <c r="J145" s="18">
        <f>IF(A145="","",IF(G145&lt;=I145,"⚠️ REORDER NA!","OK"))</f>
        <v/>
      </c>
    </row>
    <row r="146">
      <c r="A146" s="18" t="n"/>
      <c r="B146" s="18" t="n"/>
      <c r="C146" s="19" t="n"/>
      <c r="D146" s="19" t="n"/>
      <c r="E146" s="18" t="n"/>
      <c r="F146" s="18" t="n"/>
      <c r="G146" s="18">
        <f>IF(A146="","",E146-F146)</f>
        <v/>
      </c>
      <c r="H146" s="19">
        <f>IF(A146="","",G146*C146)</f>
        <v/>
      </c>
      <c r="I146" s="18" t="n"/>
      <c r="J146" s="18">
        <f>IF(A146="","",IF(G146&lt;=I146,"⚠️ REORDER NA!","OK"))</f>
        <v/>
      </c>
    </row>
    <row r="147">
      <c r="A147" s="18" t="n"/>
      <c r="B147" s="18" t="n"/>
      <c r="C147" s="19" t="n"/>
      <c r="D147" s="19" t="n"/>
      <c r="E147" s="18" t="n"/>
      <c r="F147" s="18" t="n"/>
      <c r="G147" s="18">
        <f>IF(A147="","",E147-F147)</f>
        <v/>
      </c>
      <c r="H147" s="19">
        <f>IF(A147="","",G147*C147)</f>
        <v/>
      </c>
      <c r="I147" s="18" t="n"/>
      <c r="J147" s="18">
        <f>IF(A147="","",IF(G147&lt;=I147,"⚠️ REORDER NA!","OK"))</f>
        <v/>
      </c>
    </row>
    <row r="148">
      <c r="A148" s="18" t="n"/>
      <c r="B148" s="18" t="n"/>
      <c r="C148" s="19" t="n"/>
      <c r="D148" s="19" t="n"/>
      <c r="E148" s="18" t="n"/>
      <c r="F148" s="18" t="n"/>
      <c r="G148" s="18">
        <f>IF(A148="","",E148-F148)</f>
        <v/>
      </c>
      <c r="H148" s="19">
        <f>IF(A148="","",G148*C148)</f>
        <v/>
      </c>
      <c r="I148" s="18" t="n"/>
      <c r="J148" s="18">
        <f>IF(A148="","",IF(G148&lt;=I148,"⚠️ REORDER NA!","OK"))</f>
        <v/>
      </c>
    </row>
    <row r="149">
      <c r="A149" s="18" t="n"/>
      <c r="B149" s="18" t="n"/>
      <c r="C149" s="19" t="n"/>
      <c r="D149" s="19" t="n"/>
      <c r="E149" s="18" t="n"/>
      <c r="F149" s="18" t="n"/>
      <c r="G149" s="18">
        <f>IF(A149="","",E149-F149)</f>
        <v/>
      </c>
      <c r="H149" s="19">
        <f>IF(A149="","",G149*C149)</f>
        <v/>
      </c>
      <c r="I149" s="18" t="n"/>
      <c r="J149" s="18">
        <f>IF(A149="","",IF(G149&lt;=I149,"⚠️ REORDER NA!","OK"))</f>
        <v/>
      </c>
    </row>
    <row r="150">
      <c r="A150" s="18" t="n"/>
      <c r="B150" s="18" t="n"/>
      <c r="C150" s="19" t="n"/>
      <c r="D150" s="19" t="n"/>
      <c r="E150" s="18" t="n"/>
      <c r="F150" s="18" t="n"/>
      <c r="G150" s="18">
        <f>IF(A150="","",E150-F150)</f>
        <v/>
      </c>
      <c r="H150" s="19">
        <f>IF(A150="","",G150*C150)</f>
        <v/>
      </c>
      <c r="I150" s="18" t="n"/>
      <c r="J150" s="18">
        <f>IF(A150="","",IF(G150&lt;=I150,"⚠️ REORDER NA!","OK"))</f>
        <v/>
      </c>
    </row>
    <row r="151">
      <c r="A151" s="18" t="n"/>
      <c r="B151" s="18" t="n"/>
      <c r="C151" s="19" t="n"/>
      <c r="D151" s="19" t="n"/>
      <c r="E151" s="18" t="n"/>
      <c r="F151" s="18" t="n"/>
      <c r="G151" s="18">
        <f>IF(A151="","",E151-F151)</f>
        <v/>
      </c>
      <c r="H151" s="19">
        <f>IF(A151="","",G151*C151)</f>
        <v/>
      </c>
      <c r="I151" s="18" t="n"/>
      <c r="J151" s="18">
        <f>IF(A151="","",IF(G151&lt;=I151,"⚠️ REORDER NA!","OK"))</f>
        <v/>
      </c>
    </row>
    <row r="152">
      <c r="A152" s="18" t="n"/>
      <c r="B152" s="18" t="n"/>
      <c r="C152" s="19" t="n"/>
      <c r="D152" s="19" t="n"/>
      <c r="E152" s="18" t="n"/>
      <c r="F152" s="18" t="n"/>
      <c r="G152" s="18">
        <f>IF(A152="","",E152-F152)</f>
        <v/>
      </c>
      <c r="H152" s="19">
        <f>IF(A152="","",G152*C152)</f>
        <v/>
      </c>
      <c r="I152" s="18" t="n"/>
      <c r="J152" s="18">
        <f>IF(A152="","",IF(G152&lt;=I152,"⚠️ REORDER NA!","OK"))</f>
        <v/>
      </c>
    </row>
    <row r="153">
      <c r="A153" s="18" t="n"/>
      <c r="B153" s="18" t="n"/>
      <c r="C153" s="19" t="n"/>
      <c r="D153" s="19" t="n"/>
      <c r="E153" s="18" t="n"/>
      <c r="F153" s="18" t="n"/>
      <c r="G153" s="18">
        <f>IF(A153="","",E153-F153)</f>
        <v/>
      </c>
      <c r="H153" s="19">
        <f>IF(A153="","",G153*C153)</f>
        <v/>
      </c>
      <c r="I153" s="18" t="n"/>
      <c r="J153" s="18">
        <f>IF(A153="","",IF(G153&lt;=I153,"⚠️ REORDER NA!","OK"))</f>
        <v/>
      </c>
    </row>
    <row r="154">
      <c r="A154" s="18" t="n"/>
      <c r="B154" s="18" t="n"/>
      <c r="C154" s="19" t="n"/>
      <c r="D154" s="19" t="n"/>
      <c r="E154" s="18" t="n"/>
      <c r="F154" s="18" t="n"/>
      <c r="G154" s="18">
        <f>IF(A154="","",E154-F154)</f>
        <v/>
      </c>
      <c r="H154" s="19">
        <f>IF(A154="","",G154*C154)</f>
        <v/>
      </c>
      <c r="I154" s="18" t="n"/>
      <c r="J154" s="18">
        <f>IF(A154="","",IF(G154&lt;=I154,"⚠️ REORDER NA!","OK"))</f>
        <v/>
      </c>
    </row>
    <row r="155">
      <c r="A155" s="18" t="n"/>
      <c r="B155" s="18" t="n"/>
      <c r="C155" s="19" t="n"/>
      <c r="D155" s="19" t="n"/>
      <c r="E155" s="18" t="n"/>
      <c r="F155" s="18" t="n"/>
      <c r="G155" s="18">
        <f>IF(A155="","",E155-F155)</f>
        <v/>
      </c>
      <c r="H155" s="19">
        <f>IF(A155="","",G155*C155)</f>
        <v/>
      </c>
      <c r="I155" s="18" t="n"/>
      <c r="J155" s="18">
        <f>IF(A155="","",IF(G155&lt;=I155,"⚠️ REORDER NA!","OK"))</f>
        <v/>
      </c>
    </row>
    <row r="156">
      <c r="A156" s="18" t="n"/>
      <c r="B156" s="18" t="n"/>
      <c r="C156" s="19" t="n"/>
      <c r="D156" s="19" t="n"/>
      <c r="E156" s="18" t="n"/>
      <c r="F156" s="18" t="n"/>
      <c r="G156" s="18">
        <f>IF(A156="","",E156-F156)</f>
        <v/>
      </c>
      <c r="H156" s="19">
        <f>IF(A156="","",G156*C156)</f>
        <v/>
      </c>
      <c r="I156" s="18" t="n"/>
      <c r="J156" s="18">
        <f>IF(A156="","",IF(G156&lt;=I156,"⚠️ REORDER NA!","OK"))</f>
        <v/>
      </c>
    </row>
    <row r="157">
      <c r="A157" s="18" t="n"/>
      <c r="B157" s="18" t="n"/>
      <c r="C157" s="19" t="n"/>
      <c r="D157" s="19" t="n"/>
      <c r="E157" s="18" t="n"/>
      <c r="F157" s="18" t="n"/>
      <c r="G157" s="18">
        <f>IF(A157="","",E157-F157)</f>
        <v/>
      </c>
      <c r="H157" s="19">
        <f>IF(A157="","",G157*C157)</f>
        <v/>
      </c>
      <c r="I157" s="18" t="n"/>
      <c r="J157" s="18">
        <f>IF(A157="","",IF(G157&lt;=I157,"⚠️ REORDER NA!","OK"))</f>
        <v/>
      </c>
    </row>
    <row r="158">
      <c r="A158" s="18" t="n"/>
      <c r="B158" s="18" t="n"/>
      <c r="C158" s="19" t="n"/>
      <c r="D158" s="19" t="n"/>
      <c r="E158" s="18" t="n"/>
      <c r="F158" s="18" t="n"/>
      <c r="G158" s="18">
        <f>IF(A158="","",E158-F158)</f>
        <v/>
      </c>
      <c r="H158" s="19">
        <f>IF(A158="","",G158*C158)</f>
        <v/>
      </c>
      <c r="I158" s="18" t="n"/>
      <c r="J158" s="18">
        <f>IF(A158="","",IF(G158&lt;=I158,"⚠️ REORDER NA!","OK"))</f>
        <v/>
      </c>
    </row>
    <row r="159">
      <c r="A159" s="18" t="n"/>
      <c r="B159" s="18" t="n"/>
      <c r="C159" s="19" t="n"/>
      <c r="D159" s="19" t="n"/>
      <c r="E159" s="18" t="n"/>
      <c r="F159" s="18" t="n"/>
      <c r="G159" s="18">
        <f>IF(A159="","",E159-F159)</f>
        <v/>
      </c>
      <c r="H159" s="19">
        <f>IF(A159="","",G159*C159)</f>
        <v/>
      </c>
      <c r="I159" s="18" t="n"/>
      <c r="J159" s="18">
        <f>IF(A159="","",IF(G159&lt;=I159,"⚠️ REORDER NA!","OK"))</f>
        <v/>
      </c>
    </row>
    <row r="160">
      <c r="A160" s="18" t="n"/>
      <c r="B160" s="18" t="n"/>
      <c r="C160" s="19" t="n"/>
      <c r="D160" s="19" t="n"/>
      <c r="E160" s="18" t="n"/>
      <c r="F160" s="18" t="n"/>
      <c r="G160" s="18">
        <f>IF(A160="","",E160-F160)</f>
        <v/>
      </c>
      <c r="H160" s="19">
        <f>IF(A160="","",G160*C160)</f>
        <v/>
      </c>
      <c r="I160" s="18" t="n"/>
      <c r="J160" s="18">
        <f>IF(A160="","",IF(G160&lt;=I160,"⚠️ REORDER NA!","OK"))</f>
        <v/>
      </c>
    </row>
    <row r="161">
      <c r="A161" s="18" t="n"/>
      <c r="B161" s="18" t="n"/>
      <c r="C161" s="19" t="n"/>
      <c r="D161" s="19" t="n"/>
      <c r="E161" s="18" t="n"/>
      <c r="F161" s="18" t="n"/>
      <c r="G161" s="18">
        <f>IF(A161="","",E161-F161)</f>
        <v/>
      </c>
      <c r="H161" s="19">
        <f>IF(A161="","",G161*C161)</f>
        <v/>
      </c>
      <c r="I161" s="18" t="n"/>
      <c r="J161" s="18">
        <f>IF(A161="","",IF(G161&lt;=I161,"⚠️ REORDER NA!","OK"))</f>
        <v/>
      </c>
    </row>
    <row r="162">
      <c r="A162" s="18" t="n"/>
      <c r="B162" s="18" t="n"/>
      <c r="C162" s="19" t="n"/>
      <c r="D162" s="19" t="n"/>
      <c r="E162" s="18" t="n"/>
      <c r="F162" s="18" t="n"/>
      <c r="G162" s="18">
        <f>IF(A162="","",E162-F162)</f>
        <v/>
      </c>
      <c r="H162" s="19">
        <f>IF(A162="","",G162*C162)</f>
        <v/>
      </c>
      <c r="I162" s="18" t="n"/>
      <c r="J162" s="18">
        <f>IF(A162="","",IF(G162&lt;=I162,"⚠️ REORDER NA!","OK"))</f>
        <v/>
      </c>
    </row>
    <row r="163">
      <c r="A163" s="18" t="n"/>
      <c r="B163" s="18" t="n"/>
      <c r="C163" s="19" t="n"/>
      <c r="D163" s="19" t="n"/>
      <c r="E163" s="18" t="n"/>
      <c r="F163" s="18" t="n"/>
      <c r="G163" s="18">
        <f>IF(A163="","",E163-F163)</f>
        <v/>
      </c>
      <c r="H163" s="19">
        <f>IF(A163="","",G163*C163)</f>
        <v/>
      </c>
      <c r="I163" s="18" t="n"/>
      <c r="J163" s="18">
        <f>IF(A163="","",IF(G163&lt;=I163,"⚠️ REORDER NA!","OK"))</f>
        <v/>
      </c>
    </row>
    <row r="164">
      <c r="A164" s="18" t="n"/>
      <c r="B164" s="18" t="n"/>
      <c r="C164" s="19" t="n"/>
      <c r="D164" s="19" t="n"/>
      <c r="E164" s="18" t="n"/>
      <c r="F164" s="18" t="n"/>
      <c r="G164" s="18">
        <f>IF(A164="","",E164-F164)</f>
        <v/>
      </c>
      <c r="H164" s="19">
        <f>IF(A164="","",G164*C164)</f>
        <v/>
      </c>
      <c r="I164" s="18" t="n"/>
      <c r="J164" s="18">
        <f>IF(A164="","",IF(G164&lt;=I164,"⚠️ REORDER NA!","OK"))</f>
        <v/>
      </c>
    </row>
    <row r="165">
      <c r="A165" s="18" t="n"/>
      <c r="B165" s="18" t="n"/>
      <c r="C165" s="19" t="n"/>
      <c r="D165" s="19" t="n"/>
      <c r="E165" s="18" t="n"/>
      <c r="F165" s="18" t="n"/>
      <c r="G165" s="18">
        <f>IF(A165="","",E165-F165)</f>
        <v/>
      </c>
      <c r="H165" s="19">
        <f>IF(A165="","",G165*C165)</f>
        <v/>
      </c>
      <c r="I165" s="18" t="n"/>
      <c r="J165" s="18">
        <f>IF(A165="","",IF(G165&lt;=I165,"⚠️ REORDER NA!","OK"))</f>
        <v/>
      </c>
    </row>
    <row r="166">
      <c r="A166" s="18" t="n"/>
      <c r="B166" s="18" t="n"/>
      <c r="C166" s="19" t="n"/>
      <c r="D166" s="19" t="n"/>
      <c r="E166" s="18" t="n"/>
      <c r="F166" s="18" t="n"/>
      <c r="G166" s="18">
        <f>IF(A166="","",E166-F166)</f>
        <v/>
      </c>
      <c r="H166" s="19">
        <f>IF(A166="","",G166*C166)</f>
        <v/>
      </c>
      <c r="I166" s="18" t="n"/>
      <c r="J166" s="18">
        <f>IF(A166="","",IF(G166&lt;=I166,"⚠️ REORDER NA!","OK"))</f>
        <v/>
      </c>
    </row>
    <row r="167">
      <c r="A167" s="18" t="n"/>
      <c r="B167" s="18" t="n"/>
      <c r="C167" s="19" t="n"/>
      <c r="D167" s="19" t="n"/>
      <c r="E167" s="18" t="n"/>
      <c r="F167" s="18" t="n"/>
      <c r="G167" s="18">
        <f>IF(A167="","",E167-F167)</f>
        <v/>
      </c>
      <c r="H167" s="19">
        <f>IF(A167="","",G167*C167)</f>
        <v/>
      </c>
      <c r="I167" s="18" t="n"/>
      <c r="J167" s="18">
        <f>IF(A167="","",IF(G167&lt;=I167,"⚠️ REORDER NA!","OK"))</f>
        <v/>
      </c>
    </row>
    <row r="168">
      <c r="A168" s="18" t="n"/>
      <c r="B168" s="18" t="n"/>
      <c r="C168" s="19" t="n"/>
      <c r="D168" s="19" t="n"/>
      <c r="E168" s="18" t="n"/>
      <c r="F168" s="18" t="n"/>
      <c r="G168" s="18">
        <f>IF(A168="","",E168-F168)</f>
        <v/>
      </c>
      <c r="H168" s="19">
        <f>IF(A168="","",G168*C168)</f>
        <v/>
      </c>
      <c r="I168" s="18" t="n"/>
      <c r="J168" s="18">
        <f>IF(A168="","",IF(G168&lt;=I168,"⚠️ REORDER NA!","OK"))</f>
        <v/>
      </c>
    </row>
    <row r="169">
      <c r="A169" s="18" t="n"/>
      <c r="B169" s="18" t="n"/>
      <c r="C169" s="19" t="n"/>
      <c r="D169" s="19" t="n"/>
      <c r="E169" s="18" t="n"/>
      <c r="F169" s="18" t="n"/>
      <c r="G169" s="18">
        <f>IF(A169="","",E169-F169)</f>
        <v/>
      </c>
      <c r="H169" s="19">
        <f>IF(A169="","",G169*C169)</f>
        <v/>
      </c>
      <c r="I169" s="18" t="n"/>
      <c r="J169" s="18">
        <f>IF(A169="","",IF(G169&lt;=I169,"⚠️ REORDER NA!","OK"))</f>
        <v/>
      </c>
    </row>
    <row r="170">
      <c r="A170" s="18" t="n"/>
      <c r="B170" s="18" t="n"/>
      <c r="C170" s="19" t="n"/>
      <c r="D170" s="19" t="n"/>
      <c r="E170" s="18" t="n"/>
      <c r="F170" s="18" t="n"/>
      <c r="G170" s="18">
        <f>IF(A170="","",E170-F170)</f>
        <v/>
      </c>
      <c r="H170" s="19">
        <f>IF(A170="","",G170*C170)</f>
        <v/>
      </c>
      <c r="I170" s="18" t="n"/>
      <c r="J170" s="18">
        <f>IF(A170="","",IF(G170&lt;=I170,"⚠️ REORDER NA!","OK"))</f>
        <v/>
      </c>
    </row>
    <row r="171">
      <c r="A171" s="18" t="n"/>
      <c r="B171" s="18" t="n"/>
      <c r="C171" s="19" t="n"/>
      <c r="D171" s="19" t="n"/>
      <c r="E171" s="18" t="n"/>
      <c r="F171" s="18" t="n"/>
      <c r="G171" s="18">
        <f>IF(A171="","",E171-F171)</f>
        <v/>
      </c>
      <c r="H171" s="19">
        <f>IF(A171="","",G171*C171)</f>
        <v/>
      </c>
      <c r="I171" s="18" t="n"/>
      <c r="J171" s="18">
        <f>IF(A171="","",IF(G171&lt;=I171,"⚠️ REORDER NA!","OK"))</f>
        <v/>
      </c>
    </row>
    <row r="172">
      <c r="A172" s="18" t="n"/>
      <c r="B172" s="18" t="n"/>
      <c r="C172" s="19" t="n"/>
      <c r="D172" s="19" t="n"/>
      <c r="E172" s="18" t="n"/>
      <c r="F172" s="18" t="n"/>
      <c r="G172" s="18">
        <f>IF(A172="","",E172-F172)</f>
        <v/>
      </c>
      <c r="H172" s="19">
        <f>IF(A172="","",G172*C172)</f>
        <v/>
      </c>
      <c r="I172" s="18" t="n"/>
      <c r="J172" s="18">
        <f>IF(A172="","",IF(G172&lt;=I172,"⚠️ REORDER NA!","OK"))</f>
        <v/>
      </c>
    </row>
    <row r="173">
      <c r="A173" s="18" t="n"/>
      <c r="B173" s="18" t="n"/>
      <c r="C173" s="19" t="n"/>
      <c r="D173" s="19" t="n"/>
      <c r="E173" s="18" t="n"/>
      <c r="F173" s="18" t="n"/>
      <c r="G173" s="18">
        <f>IF(A173="","",E173-F173)</f>
        <v/>
      </c>
      <c r="H173" s="19">
        <f>IF(A173="","",G173*C173)</f>
        <v/>
      </c>
      <c r="I173" s="18" t="n"/>
      <c r="J173" s="18">
        <f>IF(A173="","",IF(G173&lt;=I173,"⚠️ REORDER NA!","OK"))</f>
        <v/>
      </c>
    </row>
    <row r="174">
      <c r="A174" s="18" t="n"/>
      <c r="B174" s="18" t="n"/>
      <c r="C174" s="19" t="n"/>
      <c r="D174" s="19" t="n"/>
      <c r="E174" s="18" t="n"/>
      <c r="F174" s="18" t="n"/>
      <c r="G174" s="18">
        <f>IF(A174="","",E174-F174)</f>
        <v/>
      </c>
      <c r="H174" s="19">
        <f>IF(A174="","",G174*C174)</f>
        <v/>
      </c>
      <c r="I174" s="18" t="n"/>
      <c r="J174" s="18">
        <f>IF(A174="","",IF(G174&lt;=I174,"⚠️ REORDER NA!","OK"))</f>
        <v/>
      </c>
    </row>
    <row r="175">
      <c r="A175" s="18" t="n"/>
      <c r="B175" s="18" t="n"/>
      <c r="C175" s="19" t="n"/>
      <c r="D175" s="19" t="n"/>
      <c r="E175" s="18" t="n"/>
      <c r="F175" s="18" t="n"/>
      <c r="G175" s="18">
        <f>IF(A175="","",E175-F175)</f>
        <v/>
      </c>
      <c r="H175" s="19">
        <f>IF(A175="","",G175*C175)</f>
        <v/>
      </c>
      <c r="I175" s="18" t="n"/>
      <c r="J175" s="18">
        <f>IF(A175="","",IF(G175&lt;=I175,"⚠️ REORDER NA!","OK"))</f>
        <v/>
      </c>
    </row>
    <row r="176">
      <c r="A176" s="18" t="n"/>
      <c r="B176" s="18" t="n"/>
      <c r="C176" s="19" t="n"/>
      <c r="D176" s="19" t="n"/>
      <c r="E176" s="18" t="n"/>
      <c r="F176" s="18" t="n"/>
      <c r="G176" s="18">
        <f>IF(A176="","",E176-F176)</f>
        <v/>
      </c>
      <c r="H176" s="19">
        <f>IF(A176="","",G176*C176)</f>
        <v/>
      </c>
      <c r="I176" s="18" t="n"/>
      <c r="J176" s="18">
        <f>IF(A176="","",IF(G176&lt;=I176,"⚠️ REORDER NA!","OK"))</f>
        <v/>
      </c>
    </row>
    <row r="177">
      <c r="A177" s="18" t="n"/>
      <c r="B177" s="18" t="n"/>
      <c r="C177" s="19" t="n"/>
      <c r="D177" s="19" t="n"/>
      <c r="E177" s="18" t="n"/>
      <c r="F177" s="18" t="n"/>
      <c r="G177" s="18">
        <f>IF(A177="","",E177-F177)</f>
        <v/>
      </c>
      <c r="H177" s="19">
        <f>IF(A177="","",G177*C177)</f>
        <v/>
      </c>
      <c r="I177" s="18" t="n"/>
      <c r="J177" s="18">
        <f>IF(A177="","",IF(G177&lt;=I177,"⚠️ REORDER NA!","OK"))</f>
        <v/>
      </c>
    </row>
    <row r="178">
      <c r="A178" s="18" t="n"/>
      <c r="B178" s="18" t="n"/>
      <c r="C178" s="19" t="n"/>
      <c r="D178" s="19" t="n"/>
      <c r="E178" s="18" t="n"/>
      <c r="F178" s="18" t="n"/>
      <c r="G178" s="18">
        <f>IF(A178="","",E178-F178)</f>
        <v/>
      </c>
      <c r="H178" s="19">
        <f>IF(A178="","",G178*C178)</f>
        <v/>
      </c>
      <c r="I178" s="18" t="n"/>
      <c r="J178" s="18">
        <f>IF(A178="","",IF(G178&lt;=I178,"⚠️ REORDER NA!","OK"))</f>
        <v/>
      </c>
    </row>
    <row r="179">
      <c r="A179" s="18" t="n"/>
      <c r="B179" s="18" t="n"/>
      <c r="C179" s="19" t="n"/>
      <c r="D179" s="19" t="n"/>
      <c r="E179" s="18" t="n"/>
      <c r="F179" s="18" t="n"/>
      <c r="G179" s="18">
        <f>IF(A179="","",E179-F179)</f>
        <v/>
      </c>
      <c r="H179" s="19">
        <f>IF(A179="","",G179*C179)</f>
        <v/>
      </c>
      <c r="I179" s="18" t="n"/>
      <c r="J179" s="18">
        <f>IF(A179="","",IF(G179&lt;=I179,"⚠️ REORDER NA!","OK"))</f>
        <v/>
      </c>
    </row>
    <row r="180">
      <c r="A180" s="18" t="n"/>
      <c r="B180" s="18" t="n"/>
      <c r="C180" s="19" t="n"/>
      <c r="D180" s="19" t="n"/>
      <c r="E180" s="18" t="n"/>
      <c r="F180" s="18" t="n"/>
      <c r="G180" s="18">
        <f>IF(A180="","",E180-F180)</f>
        <v/>
      </c>
      <c r="H180" s="19">
        <f>IF(A180="","",G180*C180)</f>
        <v/>
      </c>
      <c r="I180" s="18" t="n"/>
      <c r="J180" s="18">
        <f>IF(A180="","",IF(G180&lt;=I180,"⚠️ REORDER NA!","OK"))</f>
        <v/>
      </c>
    </row>
    <row r="181">
      <c r="A181" s="18" t="n"/>
      <c r="B181" s="18" t="n"/>
      <c r="C181" s="19" t="n"/>
      <c r="D181" s="19" t="n"/>
      <c r="E181" s="18" t="n"/>
      <c r="F181" s="18" t="n"/>
      <c r="G181" s="18">
        <f>IF(A181="","",E181-F181)</f>
        <v/>
      </c>
      <c r="H181" s="19">
        <f>IF(A181="","",G181*C181)</f>
        <v/>
      </c>
      <c r="I181" s="18" t="n"/>
      <c r="J181" s="18">
        <f>IF(A181="","",IF(G181&lt;=I181,"⚠️ REORDER NA!","OK"))</f>
        <v/>
      </c>
    </row>
    <row r="182">
      <c r="A182" s="18" t="n"/>
      <c r="B182" s="18" t="n"/>
      <c r="C182" s="19" t="n"/>
      <c r="D182" s="19" t="n"/>
      <c r="E182" s="18" t="n"/>
      <c r="F182" s="18" t="n"/>
      <c r="G182" s="18">
        <f>IF(A182="","",E182-F182)</f>
        <v/>
      </c>
      <c r="H182" s="19">
        <f>IF(A182="","",G182*C182)</f>
        <v/>
      </c>
      <c r="I182" s="18" t="n"/>
      <c r="J182" s="18">
        <f>IF(A182="","",IF(G182&lt;=I182,"⚠️ REORDER NA!","OK"))</f>
        <v/>
      </c>
    </row>
    <row r="183">
      <c r="A183" s="18" t="n"/>
      <c r="B183" s="18" t="n"/>
      <c r="C183" s="19" t="n"/>
      <c r="D183" s="19" t="n"/>
      <c r="E183" s="18" t="n"/>
      <c r="F183" s="18" t="n"/>
      <c r="G183" s="18">
        <f>IF(A183="","",E183-F183)</f>
        <v/>
      </c>
      <c r="H183" s="19">
        <f>IF(A183="","",G183*C183)</f>
        <v/>
      </c>
      <c r="I183" s="18" t="n"/>
      <c r="J183" s="18">
        <f>IF(A183="","",IF(G183&lt;=I183,"⚠️ REORDER NA!","OK"))</f>
        <v/>
      </c>
    </row>
    <row r="184">
      <c r="A184" s="18" t="n"/>
      <c r="B184" s="18" t="n"/>
      <c r="C184" s="19" t="n"/>
      <c r="D184" s="19" t="n"/>
      <c r="E184" s="18" t="n"/>
      <c r="F184" s="18" t="n"/>
      <c r="G184" s="18">
        <f>IF(A184="","",E184-F184)</f>
        <v/>
      </c>
      <c r="H184" s="19">
        <f>IF(A184="","",G184*C184)</f>
        <v/>
      </c>
      <c r="I184" s="18" t="n"/>
      <c r="J184" s="18">
        <f>IF(A184="","",IF(G184&lt;=I184,"⚠️ REORDER NA!","OK"))</f>
        <v/>
      </c>
    </row>
    <row r="185">
      <c r="A185" s="18" t="n"/>
      <c r="B185" s="18" t="n"/>
      <c r="C185" s="19" t="n"/>
      <c r="D185" s="19" t="n"/>
      <c r="E185" s="18" t="n"/>
      <c r="F185" s="18" t="n"/>
      <c r="G185" s="18">
        <f>IF(A185="","",E185-F185)</f>
        <v/>
      </c>
      <c r="H185" s="19">
        <f>IF(A185="","",G185*C185)</f>
        <v/>
      </c>
      <c r="I185" s="18" t="n"/>
      <c r="J185" s="18">
        <f>IF(A185="","",IF(G185&lt;=I185,"⚠️ REORDER NA!","OK"))</f>
        <v/>
      </c>
    </row>
    <row r="186">
      <c r="A186" s="18" t="n"/>
      <c r="B186" s="18" t="n"/>
      <c r="C186" s="19" t="n"/>
      <c r="D186" s="19" t="n"/>
      <c r="E186" s="18" t="n"/>
      <c r="F186" s="18" t="n"/>
      <c r="G186" s="18">
        <f>IF(A186="","",E186-F186)</f>
        <v/>
      </c>
      <c r="H186" s="19">
        <f>IF(A186="","",G186*C186)</f>
        <v/>
      </c>
      <c r="I186" s="18" t="n"/>
      <c r="J186" s="18">
        <f>IF(A186="","",IF(G186&lt;=I186,"⚠️ REORDER NA!","OK"))</f>
        <v/>
      </c>
    </row>
    <row r="187">
      <c r="A187" s="18" t="n"/>
      <c r="B187" s="18" t="n"/>
      <c r="C187" s="19" t="n"/>
      <c r="D187" s="19" t="n"/>
      <c r="E187" s="18" t="n"/>
      <c r="F187" s="18" t="n"/>
      <c r="G187" s="18">
        <f>IF(A187="","",E187-F187)</f>
        <v/>
      </c>
      <c r="H187" s="19">
        <f>IF(A187="","",G187*C187)</f>
        <v/>
      </c>
      <c r="I187" s="18" t="n"/>
      <c r="J187" s="18">
        <f>IF(A187="","",IF(G187&lt;=I187,"⚠️ REORDER NA!","OK"))</f>
        <v/>
      </c>
    </row>
    <row r="188">
      <c r="A188" s="18" t="n"/>
      <c r="B188" s="18" t="n"/>
      <c r="C188" s="19" t="n"/>
      <c r="D188" s="19" t="n"/>
      <c r="E188" s="18" t="n"/>
      <c r="F188" s="18" t="n"/>
      <c r="G188" s="18">
        <f>IF(A188="","",E188-F188)</f>
        <v/>
      </c>
      <c r="H188" s="19">
        <f>IF(A188="","",G188*C188)</f>
        <v/>
      </c>
      <c r="I188" s="18" t="n"/>
      <c r="J188" s="18">
        <f>IF(A188="","",IF(G188&lt;=I188,"⚠️ REORDER NA!","OK"))</f>
        <v/>
      </c>
    </row>
    <row r="189">
      <c r="A189" s="18" t="n"/>
      <c r="B189" s="18" t="n"/>
      <c r="C189" s="19" t="n"/>
      <c r="D189" s="19" t="n"/>
      <c r="E189" s="18" t="n"/>
      <c r="F189" s="18" t="n"/>
      <c r="G189" s="18">
        <f>IF(A189="","",E189-F189)</f>
        <v/>
      </c>
      <c r="H189" s="19">
        <f>IF(A189="","",G189*C189)</f>
        <v/>
      </c>
      <c r="I189" s="18" t="n"/>
      <c r="J189" s="18">
        <f>IF(A189="","",IF(G189&lt;=I189,"⚠️ REORDER NA!","OK"))</f>
        <v/>
      </c>
    </row>
    <row r="190">
      <c r="A190" s="18" t="n"/>
      <c r="B190" s="18" t="n"/>
      <c r="C190" s="19" t="n"/>
      <c r="D190" s="19" t="n"/>
      <c r="E190" s="18" t="n"/>
      <c r="F190" s="18" t="n"/>
      <c r="G190" s="18">
        <f>IF(A190="","",E190-F190)</f>
        <v/>
      </c>
      <c r="H190" s="19">
        <f>IF(A190="","",G190*C190)</f>
        <v/>
      </c>
      <c r="I190" s="18" t="n"/>
      <c r="J190" s="18">
        <f>IF(A190="","",IF(G190&lt;=I190,"⚠️ REORDER NA!","OK"))</f>
        <v/>
      </c>
    </row>
    <row r="191">
      <c r="A191" s="18" t="n"/>
      <c r="B191" s="18" t="n"/>
      <c r="C191" s="19" t="n"/>
      <c r="D191" s="19" t="n"/>
      <c r="E191" s="18" t="n"/>
      <c r="F191" s="18" t="n"/>
      <c r="G191" s="18">
        <f>IF(A191="","",E191-F191)</f>
        <v/>
      </c>
      <c r="H191" s="19">
        <f>IF(A191="","",G191*C191)</f>
        <v/>
      </c>
      <c r="I191" s="18" t="n"/>
      <c r="J191" s="18">
        <f>IF(A191="","",IF(G191&lt;=I191,"⚠️ REORDER NA!","OK"))</f>
        <v/>
      </c>
    </row>
    <row r="192">
      <c r="A192" s="18" t="n"/>
      <c r="B192" s="18" t="n"/>
      <c r="C192" s="19" t="n"/>
      <c r="D192" s="19" t="n"/>
      <c r="E192" s="18" t="n"/>
      <c r="F192" s="18" t="n"/>
      <c r="G192" s="18">
        <f>IF(A192="","",E192-F192)</f>
        <v/>
      </c>
      <c r="H192" s="19">
        <f>IF(A192="","",G192*C192)</f>
        <v/>
      </c>
      <c r="I192" s="18" t="n"/>
      <c r="J192" s="18">
        <f>IF(A192="","",IF(G192&lt;=I192,"⚠️ REORDER NA!","OK"))</f>
        <v/>
      </c>
    </row>
    <row r="193">
      <c r="A193" s="18" t="n"/>
      <c r="B193" s="18" t="n"/>
      <c r="C193" s="19" t="n"/>
      <c r="D193" s="19" t="n"/>
      <c r="E193" s="18" t="n"/>
      <c r="F193" s="18" t="n"/>
      <c r="G193" s="18">
        <f>IF(A193="","",E193-F193)</f>
        <v/>
      </c>
      <c r="H193" s="19">
        <f>IF(A193="","",G193*C193)</f>
        <v/>
      </c>
      <c r="I193" s="18" t="n"/>
      <c r="J193" s="18">
        <f>IF(A193="","",IF(G193&lt;=I193,"⚠️ REORDER NA!","OK"))</f>
        <v/>
      </c>
    </row>
    <row r="194">
      <c r="A194" s="18" t="n"/>
      <c r="B194" s="18" t="n"/>
      <c r="C194" s="19" t="n"/>
      <c r="D194" s="19" t="n"/>
      <c r="E194" s="18" t="n"/>
      <c r="F194" s="18" t="n"/>
      <c r="G194" s="18">
        <f>IF(A194="","",E194-F194)</f>
        <v/>
      </c>
      <c r="H194" s="19">
        <f>IF(A194="","",G194*C194)</f>
        <v/>
      </c>
      <c r="I194" s="18" t="n"/>
      <c r="J194" s="18">
        <f>IF(A194="","",IF(G194&lt;=I194,"⚠️ REORDER NA!","OK"))</f>
        <v/>
      </c>
    </row>
    <row r="195">
      <c r="A195" s="18" t="n"/>
      <c r="B195" s="18" t="n"/>
      <c r="C195" s="19" t="n"/>
      <c r="D195" s="19" t="n"/>
      <c r="E195" s="18" t="n"/>
      <c r="F195" s="18" t="n"/>
      <c r="G195" s="18">
        <f>IF(A195="","",E195-F195)</f>
        <v/>
      </c>
      <c r="H195" s="19">
        <f>IF(A195="","",G195*C195)</f>
        <v/>
      </c>
      <c r="I195" s="18" t="n"/>
      <c r="J195" s="18">
        <f>IF(A195="","",IF(G195&lt;=I195,"⚠️ REORDER NA!","OK"))</f>
        <v/>
      </c>
    </row>
    <row r="196">
      <c r="A196" s="18" t="n"/>
      <c r="B196" s="18" t="n"/>
      <c r="C196" s="19" t="n"/>
      <c r="D196" s="19" t="n"/>
      <c r="E196" s="18" t="n"/>
      <c r="F196" s="18" t="n"/>
      <c r="G196" s="18">
        <f>IF(A196="","",E196-F196)</f>
        <v/>
      </c>
      <c r="H196" s="19">
        <f>IF(A196="","",G196*C196)</f>
        <v/>
      </c>
      <c r="I196" s="18" t="n"/>
      <c r="J196" s="18">
        <f>IF(A196="","",IF(G196&lt;=I196,"⚠️ REORDER NA!","OK"))</f>
        <v/>
      </c>
    </row>
    <row r="197">
      <c r="A197" s="18" t="n"/>
      <c r="B197" s="18" t="n"/>
      <c r="C197" s="19" t="n"/>
      <c r="D197" s="19" t="n"/>
      <c r="E197" s="18" t="n"/>
      <c r="F197" s="18" t="n"/>
      <c r="G197" s="18">
        <f>IF(A197="","",E197-F197)</f>
        <v/>
      </c>
      <c r="H197" s="19">
        <f>IF(A197="","",G197*C197)</f>
        <v/>
      </c>
      <c r="I197" s="18" t="n"/>
      <c r="J197" s="18">
        <f>IF(A197="","",IF(G197&lt;=I197,"⚠️ REORDER NA!","OK"))</f>
        <v/>
      </c>
    </row>
    <row r="198">
      <c r="A198" s="18" t="n"/>
      <c r="B198" s="18" t="n"/>
      <c r="C198" s="19" t="n"/>
      <c r="D198" s="19" t="n"/>
      <c r="E198" s="18" t="n"/>
      <c r="F198" s="18" t="n"/>
      <c r="G198" s="18">
        <f>IF(A198="","",E198-F198)</f>
        <v/>
      </c>
      <c r="H198" s="19">
        <f>IF(A198="","",G198*C198)</f>
        <v/>
      </c>
      <c r="I198" s="18" t="n"/>
      <c r="J198" s="18">
        <f>IF(A198="","",IF(G198&lt;=I198,"⚠️ REORDER NA!","OK"))</f>
        <v/>
      </c>
    </row>
    <row r="199">
      <c r="A199" s="18" t="n"/>
      <c r="B199" s="18" t="n"/>
      <c r="C199" s="19" t="n"/>
      <c r="D199" s="19" t="n"/>
      <c r="E199" s="18" t="n"/>
      <c r="F199" s="18" t="n"/>
      <c r="G199" s="18">
        <f>IF(A199="","",E199-F199)</f>
        <v/>
      </c>
      <c r="H199" s="19">
        <f>IF(A199="","",G199*C199)</f>
        <v/>
      </c>
      <c r="I199" s="18" t="n"/>
      <c r="J199" s="18">
        <f>IF(A199="","",IF(G199&lt;=I199,"⚠️ REORDER NA!","OK"))</f>
        <v/>
      </c>
    </row>
    <row r="200">
      <c r="A200" s="18" t="n"/>
      <c r="B200" s="18" t="n"/>
      <c r="C200" s="19" t="n"/>
      <c r="D200" s="19" t="n"/>
      <c r="E200" s="18" t="n"/>
      <c r="F200" s="18" t="n"/>
      <c r="G200" s="18">
        <f>IF(A200="","",E200-F200)</f>
        <v/>
      </c>
      <c r="H200" s="19">
        <f>IF(A200="","",G200*C200)</f>
        <v/>
      </c>
      <c r="I200" s="18" t="n"/>
      <c r="J200" s="18">
        <f>IF(A200="","",IF(G200&lt;=I200,"⚠️ REORDER NA!","OK"))</f>
        <v/>
      </c>
    </row>
    <row r="201">
      <c r="A201" s="18" t="n"/>
      <c r="B201" s="18" t="n"/>
      <c r="C201" s="19" t="n"/>
      <c r="D201" s="19" t="n"/>
      <c r="E201" s="18" t="n"/>
      <c r="F201" s="18" t="n"/>
      <c r="G201" s="18">
        <f>IF(A201="","",E201-F201)</f>
        <v/>
      </c>
      <c r="H201" s="19">
        <f>IF(A201="","",G201*C201)</f>
        <v/>
      </c>
      <c r="I201" s="18" t="n"/>
      <c r="J201" s="18">
        <f>IF(A201="","",IF(G201&lt;=I201,"⚠️ REORDER NA!","OK"))</f>
        <v/>
      </c>
    </row>
  </sheetData>
  <autoFilter ref="A1:J201"/>
  <conditionalFormatting sqref="J2:J201">
    <cfRule type="expression" priority="1" dxfId="0">
      <formula>$J2="⚠️ REORDER NA!"</formula>
    </cfRule>
    <cfRule type="expression" priority="2" dxfId="1">
      <formula>$J2="OK"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8" customWidth="1" min="3" max="3"/>
    <col width="14" customWidth="1" min="4" max="4"/>
    <col width="13" customWidth="1" min="5" max="5"/>
    <col width="12" customWidth="1" min="6" max="6"/>
    <col width="13" customWidth="1" min="7" max="7"/>
  </cols>
  <sheetData>
    <row r="1">
      <c r="A1" s="17" t="inlineStr">
        <is>
          <t>Date</t>
        </is>
      </c>
      <c r="B1" s="17" t="inlineStr">
        <is>
          <t>Item Name</t>
        </is>
      </c>
      <c r="C1" s="17" t="inlineStr">
        <is>
          <t>Qty</t>
        </is>
      </c>
      <c r="D1" s="17" t="inlineStr">
        <is>
          <t>Unit Price (₱)</t>
        </is>
      </c>
      <c r="E1" s="17" t="inlineStr">
        <is>
          <t>Total (₱)</t>
        </is>
      </c>
      <c r="F1" s="17" t="inlineStr">
        <is>
          <t>Cost (₱)</t>
        </is>
      </c>
      <c r="G1" s="17" t="inlineStr">
        <is>
          <t>Profit (₱)</t>
        </is>
      </c>
    </row>
    <row r="2">
      <c r="A2" s="20" t="inlineStr">
        <is>
          <t>2026-08-22</t>
        </is>
      </c>
      <c r="B2" s="18" t="inlineStr">
        <is>
          <t>Noka Noodles</t>
        </is>
      </c>
      <c r="C2" s="18" t="n">
        <v>3</v>
      </c>
      <c r="D2" s="19">
        <f>IF(OR(B2="",C2=""),"",IFERROR(VLOOKUP(B2,INVENTORY!A:D,4,FALSE),""))</f>
        <v/>
      </c>
      <c r="E2" s="19">
        <f>IF(OR(B2="",C2=""),"",D2*C2)</f>
        <v/>
      </c>
      <c r="F2" s="19">
        <f>IF(OR(B2="",C2=""),"",IFERROR(VLOOKUP(B2,INVENTORY!A:C,3,FALSE),"")*C2)</f>
        <v/>
      </c>
      <c r="G2" s="19">
        <f>IF(OR(B2="",C2=""),"",E2-F2)</f>
        <v/>
      </c>
    </row>
    <row r="3">
      <c r="A3" s="20" t="inlineStr">
        <is>
          <t>2026-08-22</t>
        </is>
      </c>
      <c r="B3" s="18" t="inlineStr">
        <is>
          <t>Softdrinks 1L</t>
        </is>
      </c>
      <c r="C3" s="18" t="n">
        <v>1</v>
      </c>
      <c r="D3" s="19">
        <f>IF(OR(B3="",C3=""),"",IFERROR(VLOOKUP(B3,INVENTORY!A:D,4,FALSE),""))</f>
        <v/>
      </c>
      <c r="E3" s="19">
        <f>IF(OR(B3="",C3=""),"",D3*C3)</f>
        <v/>
      </c>
      <c r="F3" s="19">
        <f>IF(OR(B3="",C3=""),"",IFERROR(VLOOKUP(B3,INVENTORY!A:C,3,FALSE),"")*C3)</f>
        <v/>
      </c>
      <c r="G3" s="19">
        <f>IF(OR(B3="",C3=""),"",E3-F3)</f>
        <v/>
      </c>
    </row>
    <row r="4">
      <c r="A4" s="20" t="n"/>
      <c r="B4" s="18" t="n"/>
      <c r="C4" s="18" t="n"/>
      <c r="D4" s="19">
        <f>IF(OR(B4="",C4=""),"",IFERROR(VLOOKUP(B4,INVENTORY!A:D,4,FALSE),""))</f>
        <v/>
      </c>
      <c r="E4" s="19">
        <f>IF(OR(B4="",C4=""),"",D4*C4)</f>
        <v/>
      </c>
      <c r="F4" s="19">
        <f>IF(OR(B4="",C4=""),"",IFERROR(VLOOKUP(B4,INVENTORY!A:C,3,FALSE),"")*C4)</f>
        <v/>
      </c>
      <c r="G4" s="19">
        <f>IF(OR(B4="",C4=""),"",E4-F4)</f>
        <v/>
      </c>
    </row>
    <row r="5">
      <c r="A5" s="20" t="n"/>
      <c r="B5" s="18" t="n"/>
      <c r="C5" s="18" t="n"/>
      <c r="D5" s="19">
        <f>IF(OR(B5="",C5=""),"",IFERROR(VLOOKUP(B5,INVENTORY!A:D,4,FALSE),""))</f>
        <v/>
      </c>
      <c r="E5" s="19">
        <f>IF(OR(B5="",C5=""),"",D5*C5)</f>
        <v/>
      </c>
      <c r="F5" s="19">
        <f>IF(OR(B5="",C5=""),"",IFERROR(VLOOKUP(B5,INVENTORY!A:C,3,FALSE),"")*C5)</f>
        <v/>
      </c>
      <c r="G5" s="19">
        <f>IF(OR(B5="",C5=""),"",E5-F5)</f>
        <v/>
      </c>
    </row>
    <row r="6">
      <c r="A6" s="20" t="n"/>
      <c r="B6" s="18" t="n"/>
      <c r="C6" s="18" t="n"/>
      <c r="D6" s="19">
        <f>IF(OR(B6="",C6=""),"",IFERROR(VLOOKUP(B6,INVENTORY!A:D,4,FALSE),""))</f>
        <v/>
      </c>
      <c r="E6" s="19">
        <f>IF(OR(B6="",C6=""),"",D6*C6)</f>
        <v/>
      </c>
      <c r="F6" s="19">
        <f>IF(OR(B6="",C6=""),"",IFERROR(VLOOKUP(B6,INVENTORY!A:C,3,FALSE),"")*C6)</f>
        <v/>
      </c>
      <c r="G6" s="19">
        <f>IF(OR(B6="",C6=""),"",E6-F6)</f>
        <v/>
      </c>
    </row>
    <row r="7">
      <c r="A7" s="20" t="n"/>
      <c r="B7" s="18" t="n"/>
      <c r="C7" s="18" t="n"/>
      <c r="D7" s="19">
        <f>IF(OR(B7="",C7=""),"",IFERROR(VLOOKUP(B7,INVENTORY!A:D,4,FALSE),""))</f>
        <v/>
      </c>
      <c r="E7" s="19">
        <f>IF(OR(B7="",C7=""),"",D7*C7)</f>
        <v/>
      </c>
      <c r="F7" s="19">
        <f>IF(OR(B7="",C7=""),"",IFERROR(VLOOKUP(B7,INVENTORY!A:C,3,FALSE),"")*C7)</f>
        <v/>
      </c>
      <c r="G7" s="19">
        <f>IF(OR(B7="",C7=""),"",E7-F7)</f>
        <v/>
      </c>
    </row>
    <row r="8">
      <c r="A8" s="20" t="n"/>
      <c r="B8" s="18" t="n"/>
      <c r="C8" s="18" t="n"/>
      <c r="D8" s="19">
        <f>IF(OR(B8="",C8=""),"",IFERROR(VLOOKUP(B8,INVENTORY!A:D,4,FALSE),""))</f>
        <v/>
      </c>
      <c r="E8" s="19">
        <f>IF(OR(B8="",C8=""),"",D8*C8)</f>
        <v/>
      </c>
      <c r="F8" s="19">
        <f>IF(OR(B8="",C8=""),"",IFERROR(VLOOKUP(B8,INVENTORY!A:C,3,FALSE),"")*C8)</f>
        <v/>
      </c>
      <c r="G8" s="19">
        <f>IF(OR(B8="",C8=""),"",E8-F8)</f>
        <v/>
      </c>
    </row>
    <row r="9">
      <c r="A9" s="20" t="n"/>
      <c r="B9" s="18" t="n"/>
      <c r="C9" s="18" t="n"/>
      <c r="D9" s="19">
        <f>IF(OR(B9="",C9=""),"",IFERROR(VLOOKUP(B9,INVENTORY!A:D,4,FALSE),""))</f>
        <v/>
      </c>
      <c r="E9" s="19">
        <f>IF(OR(B9="",C9=""),"",D9*C9)</f>
        <v/>
      </c>
      <c r="F9" s="19">
        <f>IF(OR(B9="",C9=""),"",IFERROR(VLOOKUP(B9,INVENTORY!A:C,3,FALSE),"")*C9)</f>
        <v/>
      </c>
      <c r="G9" s="19">
        <f>IF(OR(B9="",C9=""),"",E9-F9)</f>
        <v/>
      </c>
    </row>
    <row r="10">
      <c r="A10" s="20" t="n"/>
      <c r="B10" s="18" t="n"/>
      <c r="C10" s="18" t="n"/>
      <c r="D10" s="19">
        <f>IF(OR(B10="",C10=""),"",IFERROR(VLOOKUP(B10,INVENTORY!A:D,4,FALSE),""))</f>
        <v/>
      </c>
      <c r="E10" s="19">
        <f>IF(OR(B10="",C10=""),"",D10*C10)</f>
        <v/>
      </c>
      <c r="F10" s="19">
        <f>IF(OR(B10="",C10=""),"",IFERROR(VLOOKUP(B10,INVENTORY!A:C,3,FALSE),"")*C10)</f>
        <v/>
      </c>
      <c r="G10" s="19">
        <f>IF(OR(B10="",C10=""),"",E10-F10)</f>
        <v/>
      </c>
    </row>
    <row r="11">
      <c r="A11" s="20" t="n"/>
      <c r="B11" s="18" t="n"/>
      <c r="C11" s="18" t="n"/>
      <c r="D11" s="19">
        <f>IF(OR(B11="",C11=""),"",IFERROR(VLOOKUP(B11,INVENTORY!A:D,4,FALSE),""))</f>
        <v/>
      </c>
      <c r="E11" s="19">
        <f>IF(OR(B11="",C11=""),"",D11*C11)</f>
        <v/>
      </c>
      <c r="F11" s="19">
        <f>IF(OR(B11="",C11=""),"",IFERROR(VLOOKUP(B11,INVENTORY!A:C,3,FALSE),"")*C11)</f>
        <v/>
      </c>
      <c r="G11" s="19">
        <f>IF(OR(B11="",C11=""),"",E11-F11)</f>
        <v/>
      </c>
    </row>
    <row r="12">
      <c r="A12" s="20" t="n"/>
      <c r="B12" s="18" t="n"/>
      <c r="C12" s="18" t="n"/>
      <c r="D12" s="19">
        <f>IF(OR(B12="",C12=""),"",IFERROR(VLOOKUP(B12,INVENTORY!A:D,4,FALSE),""))</f>
        <v/>
      </c>
      <c r="E12" s="19">
        <f>IF(OR(B12="",C12=""),"",D12*C12)</f>
        <v/>
      </c>
      <c r="F12" s="19">
        <f>IF(OR(B12="",C12=""),"",IFERROR(VLOOKUP(B12,INVENTORY!A:C,3,FALSE),"")*C12)</f>
        <v/>
      </c>
      <c r="G12" s="19">
        <f>IF(OR(B12="",C12=""),"",E12-F12)</f>
        <v/>
      </c>
    </row>
    <row r="13">
      <c r="A13" s="20" t="n"/>
      <c r="B13" s="18" t="n"/>
      <c r="C13" s="18" t="n"/>
      <c r="D13" s="19">
        <f>IF(OR(B13="",C13=""),"",IFERROR(VLOOKUP(B13,INVENTORY!A:D,4,FALSE),""))</f>
        <v/>
      </c>
      <c r="E13" s="19">
        <f>IF(OR(B13="",C13=""),"",D13*C13)</f>
        <v/>
      </c>
      <c r="F13" s="19">
        <f>IF(OR(B13="",C13=""),"",IFERROR(VLOOKUP(B13,INVENTORY!A:C,3,FALSE),"")*C13)</f>
        <v/>
      </c>
      <c r="G13" s="19">
        <f>IF(OR(B13="",C13=""),"",E13-F13)</f>
        <v/>
      </c>
    </row>
    <row r="14">
      <c r="A14" s="20" t="n"/>
      <c r="B14" s="18" t="n"/>
      <c r="C14" s="18" t="n"/>
      <c r="D14" s="19">
        <f>IF(OR(B14="",C14=""),"",IFERROR(VLOOKUP(B14,INVENTORY!A:D,4,FALSE),""))</f>
        <v/>
      </c>
      <c r="E14" s="19">
        <f>IF(OR(B14="",C14=""),"",D14*C14)</f>
        <v/>
      </c>
      <c r="F14" s="19">
        <f>IF(OR(B14="",C14=""),"",IFERROR(VLOOKUP(B14,INVENTORY!A:C,3,FALSE),"")*C14)</f>
        <v/>
      </c>
      <c r="G14" s="19">
        <f>IF(OR(B14="",C14=""),"",E14-F14)</f>
        <v/>
      </c>
    </row>
    <row r="15">
      <c r="A15" s="20" t="n"/>
      <c r="B15" s="18" t="n"/>
      <c r="C15" s="18" t="n"/>
      <c r="D15" s="19">
        <f>IF(OR(B15="",C15=""),"",IFERROR(VLOOKUP(B15,INVENTORY!A:D,4,FALSE),""))</f>
        <v/>
      </c>
      <c r="E15" s="19">
        <f>IF(OR(B15="",C15=""),"",D15*C15)</f>
        <v/>
      </c>
      <c r="F15" s="19">
        <f>IF(OR(B15="",C15=""),"",IFERROR(VLOOKUP(B15,INVENTORY!A:C,3,FALSE),"")*C15)</f>
        <v/>
      </c>
      <c r="G15" s="19">
        <f>IF(OR(B15="",C15=""),"",E15-F15)</f>
        <v/>
      </c>
    </row>
    <row r="16">
      <c r="A16" s="20" t="n"/>
      <c r="B16" s="18" t="n"/>
      <c r="C16" s="18" t="n"/>
      <c r="D16" s="19">
        <f>IF(OR(B16="",C16=""),"",IFERROR(VLOOKUP(B16,INVENTORY!A:D,4,FALSE),""))</f>
        <v/>
      </c>
      <c r="E16" s="19">
        <f>IF(OR(B16="",C16=""),"",D16*C16)</f>
        <v/>
      </c>
      <c r="F16" s="19">
        <f>IF(OR(B16="",C16=""),"",IFERROR(VLOOKUP(B16,INVENTORY!A:C,3,FALSE),"")*C16)</f>
        <v/>
      </c>
      <c r="G16" s="19">
        <f>IF(OR(B16="",C16=""),"",E16-F16)</f>
        <v/>
      </c>
    </row>
    <row r="17">
      <c r="A17" s="20" t="n"/>
      <c r="B17" s="18" t="n"/>
      <c r="C17" s="18" t="n"/>
      <c r="D17" s="19">
        <f>IF(OR(B17="",C17=""),"",IFERROR(VLOOKUP(B17,INVENTORY!A:D,4,FALSE),""))</f>
        <v/>
      </c>
      <c r="E17" s="19">
        <f>IF(OR(B17="",C17=""),"",D17*C17)</f>
        <v/>
      </c>
      <c r="F17" s="19">
        <f>IF(OR(B17="",C17=""),"",IFERROR(VLOOKUP(B17,INVENTORY!A:C,3,FALSE),"")*C17)</f>
        <v/>
      </c>
      <c r="G17" s="19">
        <f>IF(OR(B17="",C17=""),"",E17-F17)</f>
        <v/>
      </c>
    </row>
    <row r="18">
      <c r="A18" s="20" t="n"/>
      <c r="B18" s="18" t="n"/>
      <c r="C18" s="18" t="n"/>
      <c r="D18" s="19">
        <f>IF(OR(B18="",C18=""),"",IFERROR(VLOOKUP(B18,INVENTORY!A:D,4,FALSE),""))</f>
        <v/>
      </c>
      <c r="E18" s="19">
        <f>IF(OR(B18="",C18=""),"",D18*C18)</f>
        <v/>
      </c>
      <c r="F18" s="19">
        <f>IF(OR(B18="",C18=""),"",IFERROR(VLOOKUP(B18,INVENTORY!A:C,3,FALSE),"")*C18)</f>
        <v/>
      </c>
      <c r="G18" s="19">
        <f>IF(OR(B18="",C18=""),"",E18-F18)</f>
        <v/>
      </c>
    </row>
    <row r="19">
      <c r="A19" s="20" t="n"/>
      <c r="B19" s="18" t="n"/>
      <c r="C19" s="18" t="n"/>
      <c r="D19" s="19">
        <f>IF(OR(B19="",C19=""),"",IFERROR(VLOOKUP(B19,INVENTORY!A:D,4,FALSE),""))</f>
        <v/>
      </c>
      <c r="E19" s="19">
        <f>IF(OR(B19="",C19=""),"",D19*C19)</f>
        <v/>
      </c>
      <c r="F19" s="19">
        <f>IF(OR(B19="",C19=""),"",IFERROR(VLOOKUP(B19,INVENTORY!A:C,3,FALSE),"")*C19)</f>
        <v/>
      </c>
      <c r="G19" s="19">
        <f>IF(OR(B19="",C19=""),"",E19-F19)</f>
        <v/>
      </c>
    </row>
    <row r="20">
      <c r="A20" s="20" t="n"/>
      <c r="B20" s="18" t="n"/>
      <c r="C20" s="18" t="n"/>
      <c r="D20" s="19">
        <f>IF(OR(B20="",C20=""),"",IFERROR(VLOOKUP(B20,INVENTORY!A:D,4,FALSE),""))</f>
        <v/>
      </c>
      <c r="E20" s="19">
        <f>IF(OR(B20="",C20=""),"",D20*C20)</f>
        <v/>
      </c>
      <c r="F20" s="19">
        <f>IF(OR(B20="",C20=""),"",IFERROR(VLOOKUP(B20,INVENTORY!A:C,3,FALSE),"")*C20)</f>
        <v/>
      </c>
      <c r="G20" s="19">
        <f>IF(OR(B20="",C20=""),"",E20-F20)</f>
        <v/>
      </c>
    </row>
    <row r="21">
      <c r="A21" s="20" t="n"/>
      <c r="B21" s="18" t="n"/>
      <c r="C21" s="18" t="n"/>
      <c r="D21" s="19">
        <f>IF(OR(B21="",C21=""),"",IFERROR(VLOOKUP(B21,INVENTORY!A:D,4,FALSE),""))</f>
        <v/>
      </c>
      <c r="E21" s="19">
        <f>IF(OR(B21="",C21=""),"",D21*C21)</f>
        <v/>
      </c>
      <c r="F21" s="19">
        <f>IF(OR(B21="",C21=""),"",IFERROR(VLOOKUP(B21,INVENTORY!A:C,3,FALSE),"")*C21)</f>
        <v/>
      </c>
      <c r="G21" s="19">
        <f>IF(OR(B21="",C21=""),"",E21-F21)</f>
        <v/>
      </c>
    </row>
    <row r="22">
      <c r="A22" s="20" t="n"/>
      <c r="B22" s="18" t="n"/>
      <c r="C22" s="18" t="n"/>
      <c r="D22" s="19">
        <f>IF(OR(B22="",C22=""),"",IFERROR(VLOOKUP(B22,INVENTORY!A:D,4,FALSE),""))</f>
        <v/>
      </c>
      <c r="E22" s="19">
        <f>IF(OR(B22="",C22=""),"",D22*C22)</f>
        <v/>
      </c>
      <c r="F22" s="19">
        <f>IF(OR(B22="",C22=""),"",IFERROR(VLOOKUP(B22,INVENTORY!A:C,3,FALSE),"")*C22)</f>
        <v/>
      </c>
      <c r="G22" s="19">
        <f>IF(OR(B22="",C22=""),"",E22-F22)</f>
        <v/>
      </c>
    </row>
    <row r="23">
      <c r="A23" s="20" t="n"/>
      <c r="B23" s="18" t="n"/>
      <c r="C23" s="18" t="n"/>
      <c r="D23" s="19">
        <f>IF(OR(B23="",C23=""),"",IFERROR(VLOOKUP(B23,INVENTORY!A:D,4,FALSE),""))</f>
        <v/>
      </c>
      <c r="E23" s="19">
        <f>IF(OR(B23="",C23=""),"",D23*C23)</f>
        <v/>
      </c>
      <c r="F23" s="19">
        <f>IF(OR(B23="",C23=""),"",IFERROR(VLOOKUP(B23,INVENTORY!A:C,3,FALSE),"")*C23)</f>
        <v/>
      </c>
      <c r="G23" s="19">
        <f>IF(OR(B23="",C23=""),"",E23-F23)</f>
        <v/>
      </c>
    </row>
    <row r="24">
      <c r="A24" s="20" t="n"/>
      <c r="B24" s="18" t="n"/>
      <c r="C24" s="18" t="n"/>
      <c r="D24" s="19">
        <f>IF(OR(B24="",C24=""),"",IFERROR(VLOOKUP(B24,INVENTORY!A:D,4,FALSE),""))</f>
        <v/>
      </c>
      <c r="E24" s="19">
        <f>IF(OR(B24="",C24=""),"",D24*C24)</f>
        <v/>
      </c>
      <c r="F24" s="19">
        <f>IF(OR(B24="",C24=""),"",IFERROR(VLOOKUP(B24,INVENTORY!A:C,3,FALSE),"")*C24)</f>
        <v/>
      </c>
      <c r="G24" s="19">
        <f>IF(OR(B24="",C24=""),"",E24-F24)</f>
        <v/>
      </c>
    </row>
    <row r="25">
      <c r="A25" s="20" t="n"/>
      <c r="B25" s="18" t="n"/>
      <c r="C25" s="18" t="n"/>
      <c r="D25" s="19">
        <f>IF(OR(B25="",C25=""),"",IFERROR(VLOOKUP(B25,INVENTORY!A:D,4,FALSE),""))</f>
        <v/>
      </c>
      <c r="E25" s="19">
        <f>IF(OR(B25="",C25=""),"",D25*C25)</f>
        <v/>
      </c>
      <c r="F25" s="19">
        <f>IF(OR(B25="",C25=""),"",IFERROR(VLOOKUP(B25,INVENTORY!A:C,3,FALSE),"")*C25)</f>
        <v/>
      </c>
      <c r="G25" s="19">
        <f>IF(OR(B25="",C25=""),"",E25-F25)</f>
        <v/>
      </c>
    </row>
    <row r="26">
      <c r="A26" s="20" t="n"/>
      <c r="B26" s="18" t="n"/>
      <c r="C26" s="18" t="n"/>
      <c r="D26" s="19">
        <f>IF(OR(B26="",C26=""),"",IFERROR(VLOOKUP(B26,INVENTORY!A:D,4,FALSE),""))</f>
        <v/>
      </c>
      <c r="E26" s="19">
        <f>IF(OR(B26="",C26=""),"",D26*C26)</f>
        <v/>
      </c>
      <c r="F26" s="19">
        <f>IF(OR(B26="",C26=""),"",IFERROR(VLOOKUP(B26,INVENTORY!A:C,3,FALSE),"")*C26)</f>
        <v/>
      </c>
      <c r="G26" s="19">
        <f>IF(OR(B26="",C26=""),"",E26-F26)</f>
        <v/>
      </c>
    </row>
    <row r="27">
      <c r="A27" s="20" t="n"/>
      <c r="B27" s="18" t="n"/>
      <c r="C27" s="18" t="n"/>
      <c r="D27" s="19">
        <f>IF(OR(B27="",C27=""),"",IFERROR(VLOOKUP(B27,INVENTORY!A:D,4,FALSE),""))</f>
        <v/>
      </c>
      <c r="E27" s="19">
        <f>IF(OR(B27="",C27=""),"",D27*C27)</f>
        <v/>
      </c>
      <c r="F27" s="19">
        <f>IF(OR(B27="",C27=""),"",IFERROR(VLOOKUP(B27,INVENTORY!A:C,3,FALSE),"")*C27)</f>
        <v/>
      </c>
      <c r="G27" s="19">
        <f>IF(OR(B27="",C27=""),"",E27-F27)</f>
        <v/>
      </c>
    </row>
    <row r="28">
      <c r="A28" s="20" t="n"/>
      <c r="B28" s="18" t="n"/>
      <c r="C28" s="18" t="n"/>
      <c r="D28" s="19">
        <f>IF(OR(B28="",C28=""),"",IFERROR(VLOOKUP(B28,INVENTORY!A:D,4,FALSE),""))</f>
        <v/>
      </c>
      <c r="E28" s="19">
        <f>IF(OR(B28="",C28=""),"",D28*C28)</f>
        <v/>
      </c>
      <c r="F28" s="19">
        <f>IF(OR(B28="",C28=""),"",IFERROR(VLOOKUP(B28,INVENTORY!A:C,3,FALSE),"")*C28)</f>
        <v/>
      </c>
      <c r="G28" s="19">
        <f>IF(OR(B28="",C28=""),"",E28-F28)</f>
        <v/>
      </c>
    </row>
    <row r="29">
      <c r="A29" s="20" t="n"/>
      <c r="B29" s="18" t="n"/>
      <c r="C29" s="18" t="n"/>
      <c r="D29" s="19">
        <f>IF(OR(B29="",C29=""),"",IFERROR(VLOOKUP(B29,INVENTORY!A:D,4,FALSE),""))</f>
        <v/>
      </c>
      <c r="E29" s="19">
        <f>IF(OR(B29="",C29=""),"",D29*C29)</f>
        <v/>
      </c>
      <c r="F29" s="19">
        <f>IF(OR(B29="",C29=""),"",IFERROR(VLOOKUP(B29,INVENTORY!A:C,3,FALSE),"")*C29)</f>
        <v/>
      </c>
      <c r="G29" s="19">
        <f>IF(OR(B29="",C29=""),"",E29-F29)</f>
        <v/>
      </c>
    </row>
    <row r="30">
      <c r="A30" s="20" t="n"/>
      <c r="B30" s="18" t="n"/>
      <c r="C30" s="18" t="n"/>
      <c r="D30" s="19">
        <f>IF(OR(B30="",C30=""),"",IFERROR(VLOOKUP(B30,INVENTORY!A:D,4,FALSE),""))</f>
        <v/>
      </c>
      <c r="E30" s="19">
        <f>IF(OR(B30="",C30=""),"",D30*C30)</f>
        <v/>
      </c>
      <c r="F30" s="19">
        <f>IF(OR(B30="",C30=""),"",IFERROR(VLOOKUP(B30,INVENTORY!A:C,3,FALSE),"")*C30)</f>
        <v/>
      </c>
      <c r="G30" s="19">
        <f>IF(OR(B30="",C30=""),"",E30-F30)</f>
        <v/>
      </c>
    </row>
    <row r="31">
      <c r="A31" s="20" t="n"/>
      <c r="B31" s="18" t="n"/>
      <c r="C31" s="18" t="n"/>
      <c r="D31" s="19">
        <f>IF(OR(B31="",C31=""),"",IFERROR(VLOOKUP(B31,INVENTORY!A:D,4,FALSE),""))</f>
        <v/>
      </c>
      <c r="E31" s="19">
        <f>IF(OR(B31="",C31=""),"",D31*C31)</f>
        <v/>
      </c>
      <c r="F31" s="19">
        <f>IF(OR(B31="",C31=""),"",IFERROR(VLOOKUP(B31,INVENTORY!A:C,3,FALSE),"")*C31)</f>
        <v/>
      </c>
      <c r="G31" s="19">
        <f>IF(OR(B31="",C31=""),"",E31-F31)</f>
        <v/>
      </c>
    </row>
    <row r="32">
      <c r="A32" s="20" t="n"/>
      <c r="B32" s="18" t="n"/>
      <c r="C32" s="18" t="n"/>
      <c r="D32" s="19">
        <f>IF(OR(B32="",C32=""),"",IFERROR(VLOOKUP(B32,INVENTORY!A:D,4,FALSE),""))</f>
        <v/>
      </c>
      <c r="E32" s="19">
        <f>IF(OR(B32="",C32=""),"",D32*C32)</f>
        <v/>
      </c>
      <c r="F32" s="19">
        <f>IF(OR(B32="",C32=""),"",IFERROR(VLOOKUP(B32,INVENTORY!A:C,3,FALSE),"")*C32)</f>
        <v/>
      </c>
      <c r="G32" s="19">
        <f>IF(OR(B32="",C32=""),"",E32-F32)</f>
        <v/>
      </c>
    </row>
    <row r="33">
      <c r="A33" s="20" t="n"/>
      <c r="B33" s="18" t="n"/>
      <c r="C33" s="18" t="n"/>
      <c r="D33" s="19">
        <f>IF(OR(B33="",C33=""),"",IFERROR(VLOOKUP(B33,INVENTORY!A:D,4,FALSE),""))</f>
        <v/>
      </c>
      <c r="E33" s="19">
        <f>IF(OR(B33="",C33=""),"",D33*C33)</f>
        <v/>
      </c>
      <c r="F33" s="19">
        <f>IF(OR(B33="",C33=""),"",IFERROR(VLOOKUP(B33,INVENTORY!A:C,3,FALSE),"")*C33)</f>
        <v/>
      </c>
      <c r="G33" s="19">
        <f>IF(OR(B33="",C33=""),"",E33-F33)</f>
        <v/>
      </c>
    </row>
    <row r="34">
      <c r="A34" s="20" t="n"/>
      <c r="B34" s="18" t="n"/>
      <c r="C34" s="18" t="n"/>
      <c r="D34" s="19">
        <f>IF(OR(B34="",C34=""),"",IFERROR(VLOOKUP(B34,INVENTORY!A:D,4,FALSE),""))</f>
        <v/>
      </c>
      <c r="E34" s="19">
        <f>IF(OR(B34="",C34=""),"",D34*C34)</f>
        <v/>
      </c>
      <c r="F34" s="19">
        <f>IF(OR(B34="",C34=""),"",IFERROR(VLOOKUP(B34,INVENTORY!A:C,3,FALSE),"")*C34)</f>
        <v/>
      </c>
      <c r="G34" s="19">
        <f>IF(OR(B34="",C34=""),"",E34-F34)</f>
        <v/>
      </c>
    </row>
    <row r="35">
      <c r="A35" s="20" t="n"/>
      <c r="B35" s="18" t="n"/>
      <c r="C35" s="18" t="n"/>
      <c r="D35" s="19">
        <f>IF(OR(B35="",C35=""),"",IFERROR(VLOOKUP(B35,INVENTORY!A:D,4,FALSE),""))</f>
        <v/>
      </c>
      <c r="E35" s="19">
        <f>IF(OR(B35="",C35=""),"",D35*C35)</f>
        <v/>
      </c>
      <c r="F35" s="19">
        <f>IF(OR(B35="",C35=""),"",IFERROR(VLOOKUP(B35,INVENTORY!A:C,3,FALSE),"")*C35)</f>
        <v/>
      </c>
      <c r="G35" s="19">
        <f>IF(OR(B35="",C35=""),"",E35-F35)</f>
        <v/>
      </c>
    </row>
    <row r="36">
      <c r="A36" s="20" t="n"/>
      <c r="B36" s="18" t="n"/>
      <c r="C36" s="18" t="n"/>
      <c r="D36" s="19">
        <f>IF(OR(B36="",C36=""),"",IFERROR(VLOOKUP(B36,INVENTORY!A:D,4,FALSE),""))</f>
        <v/>
      </c>
      <c r="E36" s="19">
        <f>IF(OR(B36="",C36=""),"",D36*C36)</f>
        <v/>
      </c>
      <c r="F36" s="19">
        <f>IF(OR(B36="",C36=""),"",IFERROR(VLOOKUP(B36,INVENTORY!A:C,3,FALSE),"")*C36)</f>
        <v/>
      </c>
      <c r="G36" s="19">
        <f>IF(OR(B36="",C36=""),"",E36-F36)</f>
        <v/>
      </c>
    </row>
    <row r="37">
      <c r="A37" s="20" t="n"/>
      <c r="B37" s="18" t="n"/>
      <c r="C37" s="18" t="n"/>
      <c r="D37" s="19">
        <f>IF(OR(B37="",C37=""),"",IFERROR(VLOOKUP(B37,INVENTORY!A:D,4,FALSE),""))</f>
        <v/>
      </c>
      <c r="E37" s="19">
        <f>IF(OR(B37="",C37=""),"",D37*C37)</f>
        <v/>
      </c>
      <c r="F37" s="19">
        <f>IF(OR(B37="",C37=""),"",IFERROR(VLOOKUP(B37,INVENTORY!A:C,3,FALSE),"")*C37)</f>
        <v/>
      </c>
      <c r="G37" s="19">
        <f>IF(OR(B37="",C37=""),"",E37-F37)</f>
        <v/>
      </c>
    </row>
    <row r="38">
      <c r="A38" s="20" t="n"/>
      <c r="B38" s="18" t="n"/>
      <c r="C38" s="18" t="n"/>
      <c r="D38" s="19">
        <f>IF(OR(B38="",C38=""),"",IFERROR(VLOOKUP(B38,INVENTORY!A:D,4,FALSE),""))</f>
        <v/>
      </c>
      <c r="E38" s="19">
        <f>IF(OR(B38="",C38=""),"",D38*C38)</f>
        <v/>
      </c>
      <c r="F38" s="19">
        <f>IF(OR(B38="",C38=""),"",IFERROR(VLOOKUP(B38,INVENTORY!A:C,3,FALSE),"")*C38)</f>
        <v/>
      </c>
      <c r="G38" s="19">
        <f>IF(OR(B38="",C38=""),"",E38-F38)</f>
        <v/>
      </c>
    </row>
    <row r="39">
      <c r="A39" s="20" t="n"/>
      <c r="B39" s="18" t="n"/>
      <c r="C39" s="18" t="n"/>
      <c r="D39" s="19">
        <f>IF(OR(B39="",C39=""),"",IFERROR(VLOOKUP(B39,INVENTORY!A:D,4,FALSE),""))</f>
        <v/>
      </c>
      <c r="E39" s="19">
        <f>IF(OR(B39="",C39=""),"",D39*C39)</f>
        <v/>
      </c>
      <c r="F39" s="19">
        <f>IF(OR(B39="",C39=""),"",IFERROR(VLOOKUP(B39,INVENTORY!A:C,3,FALSE),"")*C39)</f>
        <v/>
      </c>
      <c r="G39" s="19">
        <f>IF(OR(B39="",C39=""),"",E39-F39)</f>
        <v/>
      </c>
    </row>
    <row r="40">
      <c r="A40" s="20" t="n"/>
      <c r="B40" s="18" t="n"/>
      <c r="C40" s="18" t="n"/>
      <c r="D40" s="19">
        <f>IF(OR(B40="",C40=""),"",IFERROR(VLOOKUP(B40,INVENTORY!A:D,4,FALSE),""))</f>
        <v/>
      </c>
      <c r="E40" s="19">
        <f>IF(OR(B40="",C40=""),"",D40*C40)</f>
        <v/>
      </c>
      <c r="F40" s="19">
        <f>IF(OR(B40="",C40=""),"",IFERROR(VLOOKUP(B40,INVENTORY!A:C,3,FALSE),"")*C40)</f>
        <v/>
      </c>
      <c r="G40" s="19">
        <f>IF(OR(B40="",C40=""),"",E40-F40)</f>
        <v/>
      </c>
    </row>
    <row r="41">
      <c r="A41" s="20" t="n"/>
      <c r="B41" s="18" t="n"/>
      <c r="C41" s="18" t="n"/>
      <c r="D41" s="19">
        <f>IF(OR(B41="",C41=""),"",IFERROR(VLOOKUP(B41,INVENTORY!A:D,4,FALSE),""))</f>
        <v/>
      </c>
      <c r="E41" s="19">
        <f>IF(OR(B41="",C41=""),"",D41*C41)</f>
        <v/>
      </c>
      <c r="F41" s="19">
        <f>IF(OR(B41="",C41=""),"",IFERROR(VLOOKUP(B41,INVENTORY!A:C,3,FALSE),"")*C41)</f>
        <v/>
      </c>
      <c r="G41" s="19">
        <f>IF(OR(B41="",C41=""),"",E41-F41)</f>
        <v/>
      </c>
    </row>
    <row r="42">
      <c r="A42" s="20" t="n"/>
      <c r="B42" s="18" t="n"/>
      <c r="C42" s="18" t="n"/>
      <c r="D42" s="19">
        <f>IF(OR(B42="",C42=""),"",IFERROR(VLOOKUP(B42,INVENTORY!A:D,4,FALSE),""))</f>
        <v/>
      </c>
      <c r="E42" s="19">
        <f>IF(OR(B42="",C42=""),"",D42*C42)</f>
        <v/>
      </c>
      <c r="F42" s="19">
        <f>IF(OR(B42="",C42=""),"",IFERROR(VLOOKUP(B42,INVENTORY!A:C,3,FALSE),"")*C42)</f>
        <v/>
      </c>
      <c r="G42" s="19">
        <f>IF(OR(B42="",C42=""),"",E42-F42)</f>
        <v/>
      </c>
    </row>
    <row r="43">
      <c r="A43" s="20" t="n"/>
      <c r="B43" s="18" t="n"/>
      <c r="C43" s="18" t="n"/>
      <c r="D43" s="19">
        <f>IF(OR(B43="",C43=""),"",IFERROR(VLOOKUP(B43,INVENTORY!A:D,4,FALSE),""))</f>
        <v/>
      </c>
      <c r="E43" s="19">
        <f>IF(OR(B43="",C43=""),"",D43*C43)</f>
        <v/>
      </c>
      <c r="F43" s="19">
        <f>IF(OR(B43="",C43=""),"",IFERROR(VLOOKUP(B43,INVENTORY!A:C,3,FALSE),"")*C43)</f>
        <v/>
      </c>
      <c r="G43" s="19">
        <f>IF(OR(B43="",C43=""),"",E43-F43)</f>
        <v/>
      </c>
    </row>
    <row r="44">
      <c r="A44" s="20" t="n"/>
      <c r="B44" s="18" t="n"/>
      <c r="C44" s="18" t="n"/>
      <c r="D44" s="19">
        <f>IF(OR(B44="",C44=""),"",IFERROR(VLOOKUP(B44,INVENTORY!A:D,4,FALSE),""))</f>
        <v/>
      </c>
      <c r="E44" s="19">
        <f>IF(OR(B44="",C44=""),"",D44*C44)</f>
        <v/>
      </c>
      <c r="F44" s="19">
        <f>IF(OR(B44="",C44=""),"",IFERROR(VLOOKUP(B44,INVENTORY!A:C,3,FALSE),"")*C44)</f>
        <v/>
      </c>
      <c r="G44" s="19">
        <f>IF(OR(B44="",C44=""),"",E44-F44)</f>
        <v/>
      </c>
    </row>
    <row r="45">
      <c r="A45" s="20" t="n"/>
      <c r="B45" s="18" t="n"/>
      <c r="C45" s="18" t="n"/>
      <c r="D45" s="19">
        <f>IF(OR(B45="",C45=""),"",IFERROR(VLOOKUP(B45,INVENTORY!A:D,4,FALSE),""))</f>
        <v/>
      </c>
      <c r="E45" s="19">
        <f>IF(OR(B45="",C45=""),"",D45*C45)</f>
        <v/>
      </c>
      <c r="F45" s="19">
        <f>IF(OR(B45="",C45=""),"",IFERROR(VLOOKUP(B45,INVENTORY!A:C,3,FALSE),"")*C45)</f>
        <v/>
      </c>
      <c r="G45" s="19">
        <f>IF(OR(B45="",C45=""),"",E45-F45)</f>
        <v/>
      </c>
    </row>
    <row r="46">
      <c r="A46" s="20" t="n"/>
      <c r="B46" s="18" t="n"/>
      <c r="C46" s="18" t="n"/>
      <c r="D46" s="19">
        <f>IF(OR(B46="",C46=""),"",IFERROR(VLOOKUP(B46,INVENTORY!A:D,4,FALSE),""))</f>
        <v/>
      </c>
      <c r="E46" s="19">
        <f>IF(OR(B46="",C46=""),"",D46*C46)</f>
        <v/>
      </c>
      <c r="F46" s="19">
        <f>IF(OR(B46="",C46=""),"",IFERROR(VLOOKUP(B46,INVENTORY!A:C,3,FALSE),"")*C46)</f>
        <v/>
      </c>
      <c r="G46" s="19">
        <f>IF(OR(B46="",C46=""),"",E46-F46)</f>
        <v/>
      </c>
    </row>
    <row r="47">
      <c r="A47" s="20" t="n"/>
      <c r="B47" s="18" t="n"/>
      <c r="C47" s="18" t="n"/>
      <c r="D47" s="19">
        <f>IF(OR(B47="",C47=""),"",IFERROR(VLOOKUP(B47,INVENTORY!A:D,4,FALSE),""))</f>
        <v/>
      </c>
      <c r="E47" s="19">
        <f>IF(OR(B47="",C47=""),"",D47*C47)</f>
        <v/>
      </c>
      <c r="F47" s="19">
        <f>IF(OR(B47="",C47=""),"",IFERROR(VLOOKUP(B47,INVENTORY!A:C,3,FALSE),"")*C47)</f>
        <v/>
      </c>
      <c r="G47" s="19">
        <f>IF(OR(B47="",C47=""),"",E47-F47)</f>
        <v/>
      </c>
    </row>
    <row r="48">
      <c r="A48" s="20" t="n"/>
      <c r="B48" s="18" t="n"/>
      <c r="C48" s="18" t="n"/>
      <c r="D48" s="19">
        <f>IF(OR(B48="",C48=""),"",IFERROR(VLOOKUP(B48,INVENTORY!A:D,4,FALSE),""))</f>
        <v/>
      </c>
      <c r="E48" s="19">
        <f>IF(OR(B48="",C48=""),"",D48*C48)</f>
        <v/>
      </c>
      <c r="F48" s="19">
        <f>IF(OR(B48="",C48=""),"",IFERROR(VLOOKUP(B48,INVENTORY!A:C,3,FALSE),"")*C48)</f>
        <v/>
      </c>
      <c r="G48" s="19">
        <f>IF(OR(B48="",C48=""),"",E48-F48)</f>
        <v/>
      </c>
    </row>
    <row r="49">
      <c r="A49" s="20" t="n"/>
      <c r="B49" s="18" t="n"/>
      <c r="C49" s="18" t="n"/>
      <c r="D49" s="19">
        <f>IF(OR(B49="",C49=""),"",IFERROR(VLOOKUP(B49,INVENTORY!A:D,4,FALSE),""))</f>
        <v/>
      </c>
      <c r="E49" s="19">
        <f>IF(OR(B49="",C49=""),"",D49*C49)</f>
        <v/>
      </c>
      <c r="F49" s="19">
        <f>IF(OR(B49="",C49=""),"",IFERROR(VLOOKUP(B49,INVENTORY!A:C,3,FALSE),"")*C49)</f>
        <v/>
      </c>
      <c r="G49" s="19">
        <f>IF(OR(B49="",C49=""),"",E49-F49)</f>
        <v/>
      </c>
    </row>
    <row r="50">
      <c r="A50" s="20" t="n"/>
      <c r="B50" s="18" t="n"/>
      <c r="C50" s="18" t="n"/>
      <c r="D50" s="19">
        <f>IF(OR(B50="",C50=""),"",IFERROR(VLOOKUP(B50,INVENTORY!A:D,4,FALSE),""))</f>
        <v/>
      </c>
      <c r="E50" s="19">
        <f>IF(OR(B50="",C50=""),"",D50*C50)</f>
        <v/>
      </c>
      <c r="F50" s="19">
        <f>IF(OR(B50="",C50=""),"",IFERROR(VLOOKUP(B50,INVENTORY!A:C,3,FALSE),"")*C50)</f>
        <v/>
      </c>
      <c r="G50" s="19">
        <f>IF(OR(B50="",C50=""),"",E50-F50)</f>
        <v/>
      </c>
    </row>
    <row r="51">
      <c r="A51" s="20" t="n"/>
      <c r="B51" s="18" t="n"/>
      <c r="C51" s="18" t="n"/>
      <c r="D51" s="19">
        <f>IF(OR(B51="",C51=""),"",IFERROR(VLOOKUP(B51,INVENTORY!A:D,4,FALSE),""))</f>
        <v/>
      </c>
      <c r="E51" s="19">
        <f>IF(OR(B51="",C51=""),"",D51*C51)</f>
        <v/>
      </c>
      <c r="F51" s="19">
        <f>IF(OR(B51="",C51=""),"",IFERROR(VLOOKUP(B51,INVENTORY!A:C,3,FALSE),"")*C51)</f>
        <v/>
      </c>
      <c r="G51" s="19">
        <f>IF(OR(B51="",C51=""),"",E51-F51)</f>
        <v/>
      </c>
    </row>
    <row r="52">
      <c r="A52" s="20" t="n"/>
      <c r="B52" s="18" t="n"/>
      <c r="C52" s="18" t="n"/>
      <c r="D52" s="19">
        <f>IF(OR(B52="",C52=""),"",IFERROR(VLOOKUP(B52,INVENTORY!A:D,4,FALSE),""))</f>
        <v/>
      </c>
      <c r="E52" s="19">
        <f>IF(OR(B52="",C52=""),"",D52*C52)</f>
        <v/>
      </c>
      <c r="F52" s="19">
        <f>IF(OR(B52="",C52=""),"",IFERROR(VLOOKUP(B52,INVENTORY!A:C,3,FALSE),"")*C52)</f>
        <v/>
      </c>
      <c r="G52" s="19">
        <f>IF(OR(B52="",C52=""),"",E52-F52)</f>
        <v/>
      </c>
    </row>
    <row r="53">
      <c r="A53" s="20" t="n"/>
      <c r="B53" s="18" t="n"/>
      <c r="C53" s="18" t="n"/>
      <c r="D53" s="19">
        <f>IF(OR(B53="",C53=""),"",IFERROR(VLOOKUP(B53,INVENTORY!A:D,4,FALSE),""))</f>
        <v/>
      </c>
      <c r="E53" s="19">
        <f>IF(OR(B53="",C53=""),"",D53*C53)</f>
        <v/>
      </c>
      <c r="F53" s="19">
        <f>IF(OR(B53="",C53=""),"",IFERROR(VLOOKUP(B53,INVENTORY!A:C,3,FALSE),"")*C53)</f>
        <v/>
      </c>
      <c r="G53" s="19">
        <f>IF(OR(B53="",C53=""),"",E53-F53)</f>
        <v/>
      </c>
    </row>
    <row r="54">
      <c r="A54" s="20" t="n"/>
      <c r="B54" s="18" t="n"/>
      <c r="C54" s="18" t="n"/>
      <c r="D54" s="19">
        <f>IF(OR(B54="",C54=""),"",IFERROR(VLOOKUP(B54,INVENTORY!A:D,4,FALSE),""))</f>
        <v/>
      </c>
      <c r="E54" s="19">
        <f>IF(OR(B54="",C54=""),"",D54*C54)</f>
        <v/>
      </c>
      <c r="F54" s="19">
        <f>IF(OR(B54="",C54=""),"",IFERROR(VLOOKUP(B54,INVENTORY!A:C,3,FALSE),"")*C54)</f>
        <v/>
      </c>
      <c r="G54" s="19">
        <f>IF(OR(B54="",C54=""),"",E54-F54)</f>
        <v/>
      </c>
    </row>
    <row r="55">
      <c r="A55" s="20" t="n"/>
      <c r="B55" s="18" t="n"/>
      <c r="C55" s="18" t="n"/>
      <c r="D55" s="19">
        <f>IF(OR(B55="",C55=""),"",IFERROR(VLOOKUP(B55,INVENTORY!A:D,4,FALSE),""))</f>
        <v/>
      </c>
      <c r="E55" s="19">
        <f>IF(OR(B55="",C55=""),"",D55*C55)</f>
        <v/>
      </c>
      <c r="F55" s="19">
        <f>IF(OR(B55="",C55=""),"",IFERROR(VLOOKUP(B55,INVENTORY!A:C,3,FALSE),"")*C55)</f>
        <v/>
      </c>
      <c r="G55" s="19">
        <f>IF(OR(B55="",C55=""),"",E55-F55)</f>
        <v/>
      </c>
    </row>
    <row r="56">
      <c r="A56" s="20" t="n"/>
      <c r="B56" s="18" t="n"/>
      <c r="C56" s="18" t="n"/>
      <c r="D56" s="19">
        <f>IF(OR(B56="",C56=""),"",IFERROR(VLOOKUP(B56,INVENTORY!A:D,4,FALSE),""))</f>
        <v/>
      </c>
      <c r="E56" s="19">
        <f>IF(OR(B56="",C56=""),"",D56*C56)</f>
        <v/>
      </c>
      <c r="F56" s="19">
        <f>IF(OR(B56="",C56=""),"",IFERROR(VLOOKUP(B56,INVENTORY!A:C,3,FALSE),"")*C56)</f>
        <v/>
      </c>
      <c r="G56" s="19">
        <f>IF(OR(B56="",C56=""),"",E56-F56)</f>
        <v/>
      </c>
    </row>
    <row r="57">
      <c r="A57" s="20" t="n"/>
      <c r="B57" s="18" t="n"/>
      <c r="C57" s="18" t="n"/>
      <c r="D57" s="19">
        <f>IF(OR(B57="",C57=""),"",IFERROR(VLOOKUP(B57,INVENTORY!A:D,4,FALSE),""))</f>
        <v/>
      </c>
      <c r="E57" s="19">
        <f>IF(OR(B57="",C57=""),"",D57*C57)</f>
        <v/>
      </c>
      <c r="F57" s="19">
        <f>IF(OR(B57="",C57=""),"",IFERROR(VLOOKUP(B57,INVENTORY!A:C,3,FALSE),"")*C57)</f>
        <v/>
      </c>
      <c r="G57" s="19">
        <f>IF(OR(B57="",C57=""),"",E57-F57)</f>
        <v/>
      </c>
    </row>
    <row r="58">
      <c r="A58" s="20" t="n"/>
      <c r="B58" s="18" t="n"/>
      <c r="C58" s="18" t="n"/>
      <c r="D58" s="19">
        <f>IF(OR(B58="",C58=""),"",IFERROR(VLOOKUP(B58,INVENTORY!A:D,4,FALSE),""))</f>
        <v/>
      </c>
      <c r="E58" s="19">
        <f>IF(OR(B58="",C58=""),"",D58*C58)</f>
        <v/>
      </c>
      <c r="F58" s="19">
        <f>IF(OR(B58="",C58=""),"",IFERROR(VLOOKUP(B58,INVENTORY!A:C,3,FALSE),"")*C58)</f>
        <v/>
      </c>
      <c r="G58" s="19">
        <f>IF(OR(B58="",C58=""),"",E58-F58)</f>
        <v/>
      </c>
    </row>
    <row r="59">
      <c r="A59" s="20" t="n"/>
      <c r="B59" s="18" t="n"/>
      <c r="C59" s="18" t="n"/>
      <c r="D59" s="19">
        <f>IF(OR(B59="",C59=""),"",IFERROR(VLOOKUP(B59,INVENTORY!A:D,4,FALSE),""))</f>
        <v/>
      </c>
      <c r="E59" s="19">
        <f>IF(OR(B59="",C59=""),"",D59*C59)</f>
        <v/>
      </c>
      <c r="F59" s="19">
        <f>IF(OR(B59="",C59=""),"",IFERROR(VLOOKUP(B59,INVENTORY!A:C,3,FALSE),"")*C59)</f>
        <v/>
      </c>
      <c r="G59" s="19">
        <f>IF(OR(B59="",C59=""),"",E59-F59)</f>
        <v/>
      </c>
    </row>
    <row r="60">
      <c r="A60" s="20" t="n"/>
      <c r="B60" s="18" t="n"/>
      <c r="C60" s="18" t="n"/>
      <c r="D60" s="19">
        <f>IF(OR(B60="",C60=""),"",IFERROR(VLOOKUP(B60,INVENTORY!A:D,4,FALSE),""))</f>
        <v/>
      </c>
      <c r="E60" s="19">
        <f>IF(OR(B60="",C60=""),"",D60*C60)</f>
        <v/>
      </c>
      <c r="F60" s="19">
        <f>IF(OR(B60="",C60=""),"",IFERROR(VLOOKUP(B60,INVENTORY!A:C,3,FALSE),"")*C60)</f>
        <v/>
      </c>
      <c r="G60" s="19">
        <f>IF(OR(B60="",C60=""),"",E60-F60)</f>
        <v/>
      </c>
    </row>
    <row r="61">
      <c r="A61" s="20" t="n"/>
      <c r="B61" s="18" t="n"/>
      <c r="C61" s="18" t="n"/>
      <c r="D61" s="19">
        <f>IF(OR(B61="",C61=""),"",IFERROR(VLOOKUP(B61,INVENTORY!A:D,4,FALSE),""))</f>
        <v/>
      </c>
      <c r="E61" s="19">
        <f>IF(OR(B61="",C61=""),"",D61*C61)</f>
        <v/>
      </c>
      <c r="F61" s="19">
        <f>IF(OR(B61="",C61=""),"",IFERROR(VLOOKUP(B61,INVENTORY!A:C,3,FALSE),"")*C61)</f>
        <v/>
      </c>
      <c r="G61" s="19">
        <f>IF(OR(B61="",C61=""),"",E61-F61)</f>
        <v/>
      </c>
    </row>
    <row r="62">
      <c r="A62" s="20" t="n"/>
      <c r="B62" s="18" t="n"/>
      <c r="C62" s="18" t="n"/>
      <c r="D62" s="19">
        <f>IF(OR(B62="",C62=""),"",IFERROR(VLOOKUP(B62,INVENTORY!A:D,4,FALSE),""))</f>
        <v/>
      </c>
      <c r="E62" s="19">
        <f>IF(OR(B62="",C62=""),"",D62*C62)</f>
        <v/>
      </c>
      <c r="F62" s="19">
        <f>IF(OR(B62="",C62=""),"",IFERROR(VLOOKUP(B62,INVENTORY!A:C,3,FALSE),"")*C62)</f>
        <v/>
      </c>
      <c r="G62" s="19">
        <f>IF(OR(B62="",C62=""),"",E62-F62)</f>
        <v/>
      </c>
    </row>
    <row r="63">
      <c r="A63" s="20" t="n"/>
      <c r="B63" s="18" t="n"/>
      <c r="C63" s="18" t="n"/>
      <c r="D63" s="19">
        <f>IF(OR(B63="",C63=""),"",IFERROR(VLOOKUP(B63,INVENTORY!A:D,4,FALSE),""))</f>
        <v/>
      </c>
      <c r="E63" s="19">
        <f>IF(OR(B63="",C63=""),"",D63*C63)</f>
        <v/>
      </c>
      <c r="F63" s="19">
        <f>IF(OR(B63="",C63=""),"",IFERROR(VLOOKUP(B63,INVENTORY!A:C,3,FALSE),"")*C63)</f>
        <v/>
      </c>
      <c r="G63" s="19">
        <f>IF(OR(B63="",C63=""),"",E63-F63)</f>
        <v/>
      </c>
    </row>
    <row r="64">
      <c r="A64" s="20" t="n"/>
      <c r="B64" s="18" t="n"/>
      <c r="C64" s="18" t="n"/>
      <c r="D64" s="19">
        <f>IF(OR(B64="",C64=""),"",IFERROR(VLOOKUP(B64,INVENTORY!A:D,4,FALSE),""))</f>
        <v/>
      </c>
      <c r="E64" s="19">
        <f>IF(OR(B64="",C64=""),"",D64*C64)</f>
        <v/>
      </c>
      <c r="F64" s="19">
        <f>IF(OR(B64="",C64=""),"",IFERROR(VLOOKUP(B64,INVENTORY!A:C,3,FALSE),"")*C64)</f>
        <v/>
      </c>
      <c r="G64" s="19">
        <f>IF(OR(B64="",C64=""),"",E64-F64)</f>
        <v/>
      </c>
    </row>
    <row r="65">
      <c r="A65" s="20" t="n"/>
      <c r="B65" s="18" t="n"/>
      <c r="C65" s="18" t="n"/>
      <c r="D65" s="19">
        <f>IF(OR(B65="",C65=""),"",IFERROR(VLOOKUP(B65,INVENTORY!A:D,4,FALSE),""))</f>
        <v/>
      </c>
      <c r="E65" s="19">
        <f>IF(OR(B65="",C65=""),"",D65*C65)</f>
        <v/>
      </c>
      <c r="F65" s="19">
        <f>IF(OR(B65="",C65=""),"",IFERROR(VLOOKUP(B65,INVENTORY!A:C,3,FALSE),"")*C65)</f>
        <v/>
      </c>
      <c r="G65" s="19">
        <f>IF(OR(B65="",C65=""),"",E65-F65)</f>
        <v/>
      </c>
    </row>
    <row r="66">
      <c r="A66" s="20" t="n"/>
      <c r="B66" s="18" t="n"/>
      <c r="C66" s="18" t="n"/>
      <c r="D66" s="19">
        <f>IF(OR(B66="",C66=""),"",IFERROR(VLOOKUP(B66,INVENTORY!A:D,4,FALSE),""))</f>
        <v/>
      </c>
      <c r="E66" s="19">
        <f>IF(OR(B66="",C66=""),"",D66*C66)</f>
        <v/>
      </c>
      <c r="F66" s="19">
        <f>IF(OR(B66="",C66=""),"",IFERROR(VLOOKUP(B66,INVENTORY!A:C,3,FALSE),"")*C66)</f>
        <v/>
      </c>
      <c r="G66" s="19">
        <f>IF(OR(B66="",C66=""),"",E66-F66)</f>
        <v/>
      </c>
    </row>
    <row r="67">
      <c r="A67" s="20" t="n"/>
      <c r="B67" s="18" t="n"/>
      <c r="C67" s="18" t="n"/>
      <c r="D67" s="19">
        <f>IF(OR(B67="",C67=""),"",IFERROR(VLOOKUP(B67,INVENTORY!A:D,4,FALSE),""))</f>
        <v/>
      </c>
      <c r="E67" s="19">
        <f>IF(OR(B67="",C67=""),"",D67*C67)</f>
        <v/>
      </c>
      <c r="F67" s="19">
        <f>IF(OR(B67="",C67=""),"",IFERROR(VLOOKUP(B67,INVENTORY!A:C,3,FALSE),"")*C67)</f>
        <v/>
      </c>
      <c r="G67" s="19">
        <f>IF(OR(B67="",C67=""),"",E67-F67)</f>
        <v/>
      </c>
    </row>
    <row r="68">
      <c r="A68" s="20" t="n"/>
      <c r="B68" s="18" t="n"/>
      <c r="C68" s="18" t="n"/>
      <c r="D68" s="19">
        <f>IF(OR(B68="",C68=""),"",IFERROR(VLOOKUP(B68,INVENTORY!A:D,4,FALSE),""))</f>
        <v/>
      </c>
      <c r="E68" s="19">
        <f>IF(OR(B68="",C68=""),"",D68*C68)</f>
        <v/>
      </c>
      <c r="F68" s="19">
        <f>IF(OR(B68="",C68=""),"",IFERROR(VLOOKUP(B68,INVENTORY!A:C,3,FALSE),"")*C68)</f>
        <v/>
      </c>
      <c r="G68" s="19">
        <f>IF(OR(B68="",C68=""),"",E68-F68)</f>
        <v/>
      </c>
    </row>
    <row r="69">
      <c r="A69" s="20" t="n"/>
      <c r="B69" s="18" t="n"/>
      <c r="C69" s="18" t="n"/>
      <c r="D69" s="19">
        <f>IF(OR(B69="",C69=""),"",IFERROR(VLOOKUP(B69,INVENTORY!A:D,4,FALSE),""))</f>
        <v/>
      </c>
      <c r="E69" s="19">
        <f>IF(OR(B69="",C69=""),"",D69*C69)</f>
        <v/>
      </c>
      <c r="F69" s="19">
        <f>IF(OR(B69="",C69=""),"",IFERROR(VLOOKUP(B69,INVENTORY!A:C,3,FALSE),"")*C69)</f>
        <v/>
      </c>
      <c r="G69" s="19">
        <f>IF(OR(B69="",C69=""),"",E69-F69)</f>
        <v/>
      </c>
    </row>
    <row r="70">
      <c r="A70" s="20" t="n"/>
      <c r="B70" s="18" t="n"/>
      <c r="C70" s="18" t="n"/>
      <c r="D70" s="19">
        <f>IF(OR(B70="",C70=""),"",IFERROR(VLOOKUP(B70,INVENTORY!A:D,4,FALSE),""))</f>
        <v/>
      </c>
      <c r="E70" s="19">
        <f>IF(OR(B70="",C70=""),"",D70*C70)</f>
        <v/>
      </c>
      <c r="F70" s="19">
        <f>IF(OR(B70="",C70=""),"",IFERROR(VLOOKUP(B70,INVENTORY!A:C,3,FALSE),"")*C70)</f>
        <v/>
      </c>
      <c r="G70" s="19">
        <f>IF(OR(B70="",C70=""),"",E70-F70)</f>
        <v/>
      </c>
    </row>
    <row r="71">
      <c r="A71" s="20" t="n"/>
      <c r="B71" s="18" t="n"/>
      <c r="C71" s="18" t="n"/>
      <c r="D71" s="19">
        <f>IF(OR(B71="",C71=""),"",IFERROR(VLOOKUP(B71,INVENTORY!A:D,4,FALSE),""))</f>
        <v/>
      </c>
      <c r="E71" s="19">
        <f>IF(OR(B71="",C71=""),"",D71*C71)</f>
        <v/>
      </c>
      <c r="F71" s="19">
        <f>IF(OR(B71="",C71=""),"",IFERROR(VLOOKUP(B71,INVENTORY!A:C,3,FALSE),"")*C71)</f>
        <v/>
      </c>
      <c r="G71" s="19">
        <f>IF(OR(B71="",C71=""),"",E71-F71)</f>
        <v/>
      </c>
    </row>
    <row r="72">
      <c r="A72" s="20" t="n"/>
      <c r="B72" s="18" t="n"/>
      <c r="C72" s="18" t="n"/>
      <c r="D72" s="19">
        <f>IF(OR(B72="",C72=""),"",IFERROR(VLOOKUP(B72,INVENTORY!A:D,4,FALSE),""))</f>
        <v/>
      </c>
      <c r="E72" s="19">
        <f>IF(OR(B72="",C72=""),"",D72*C72)</f>
        <v/>
      </c>
      <c r="F72" s="19">
        <f>IF(OR(B72="",C72=""),"",IFERROR(VLOOKUP(B72,INVENTORY!A:C,3,FALSE),"")*C72)</f>
        <v/>
      </c>
      <c r="G72" s="19">
        <f>IF(OR(B72="",C72=""),"",E72-F72)</f>
        <v/>
      </c>
    </row>
    <row r="73">
      <c r="A73" s="20" t="n"/>
      <c r="B73" s="18" t="n"/>
      <c r="C73" s="18" t="n"/>
      <c r="D73" s="19">
        <f>IF(OR(B73="",C73=""),"",IFERROR(VLOOKUP(B73,INVENTORY!A:D,4,FALSE),""))</f>
        <v/>
      </c>
      <c r="E73" s="19">
        <f>IF(OR(B73="",C73=""),"",D73*C73)</f>
        <v/>
      </c>
      <c r="F73" s="19">
        <f>IF(OR(B73="",C73=""),"",IFERROR(VLOOKUP(B73,INVENTORY!A:C,3,FALSE),"")*C73)</f>
        <v/>
      </c>
      <c r="G73" s="19">
        <f>IF(OR(B73="",C73=""),"",E73-F73)</f>
        <v/>
      </c>
    </row>
    <row r="74">
      <c r="A74" s="20" t="n"/>
      <c r="B74" s="18" t="n"/>
      <c r="C74" s="18" t="n"/>
      <c r="D74" s="19">
        <f>IF(OR(B74="",C74=""),"",IFERROR(VLOOKUP(B74,INVENTORY!A:D,4,FALSE),""))</f>
        <v/>
      </c>
      <c r="E74" s="19">
        <f>IF(OR(B74="",C74=""),"",D74*C74)</f>
        <v/>
      </c>
      <c r="F74" s="19">
        <f>IF(OR(B74="",C74=""),"",IFERROR(VLOOKUP(B74,INVENTORY!A:C,3,FALSE),"")*C74)</f>
        <v/>
      </c>
      <c r="G74" s="19">
        <f>IF(OR(B74="",C74=""),"",E74-F74)</f>
        <v/>
      </c>
    </row>
    <row r="75">
      <c r="A75" s="20" t="n"/>
      <c r="B75" s="18" t="n"/>
      <c r="C75" s="18" t="n"/>
      <c r="D75" s="19">
        <f>IF(OR(B75="",C75=""),"",IFERROR(VLOOKUP(B75,INVENTORY!A:D,4,FALSE),""))</f>
        <v/>
      </c>
      <c r="E75" s="19">
        <f>IF(OR(B75="",C75=""),"",D75*C75)</f>
        <v/>
      </c>
      <c r="F75" s="19">
        <f>IF(OR(B75="",C75=""),"",IFERROR(VLOOKUP(B75,INVENTORY!A:C,3,FALSE),"")*C75)</f>
        <v/>
      </c>
      <c r="G75" s="19">
        <f>IF(OR(B75="",C75=""),"",E75-F75)</f>
        <v/>
      </c>
    </row>
    <row r="76">
      <c r="A76" s="20" t="n"/>
      <c r="B76" s="18" t="n"/>
      <c r="C76" s="18" t="n"/>
      <c r="D76" s="19">
        <f>IF(OR(B76="",C76=""),"",IFERROR(VLOOKUP(B76,INVENTORY!A:D,4,FALSE),""))</f>
        <v/>
      </c>
      <c r="E76" s="19">
        <f>IF(OR(B76="",C76=""),"",D76*C76)</f>
        <v/>
      </c>
      <c r="F76" s="19">
        <f>IF(OR(B76="",C76=""),"",IFERROR(VLOOKUP(B76,INVENTORY!A:C,3,FALSE),"")*C76)</f>
        <v/>
      </c>
      <c r="G76" s="19">
        <f>IF(OR(B76="",C76=""),"",E76-F76)</f>
        <v/>
      </c>
    </row>
    <row r="77">
      <c r="A77" s="20" t="n"/>
      <c r="B77" s="18" t="n"/>
      <c r="C77" s="18" t="n"/>
      <c r="D77" s="19">
        <f>IF(OR(B77="",C77=""),"",IFERROR(VLOOKUP(B77,INVENTORY!A:D,4,FALSE),""))</f>
        <v/>
      </c>
      <c r="E77" s="19">
        <f>IF(OR(B77="",C77=""),"",D77*C77)</f>
        <v/>
      </c>
      <c r="F77" s="19">
        <f>IF(OR(B77="",C77=""),"",IFERROR(VLOOKUP(B77,INVENTORY!A:C,3,FALSE),"")*C77)</f>
        <v/>
      </c>
      <c r="G77" s="19">
        <f>IF(OR(B77="",C77=""),"",E77-F77)</f>
        <v/>
      </c>
    </row>
    <row r="78">
      <c r="A78" s="20" t="n"/>
      <c r="B78" s="18" t="n"/>
      <c r="C78" s="18" t="n"/>
      <c r="D78" s="19">
        <f>IF(OR(B78="",C78=""),"",IFERROR(VLOOKUP(B78,INVENTORY!A:D,4,FALSE),""))</f>
        <v/>
      </c>
      <c r="E78" s="19">
        <f>IF(OR(B78="",C78=""),"",D78*C78)</f>
        <v/>
      </c>
      <c r="F78" s="19">
        <f>IF(OR(B78="",C78=""),"",IFERROR(VLOOKUP(B78,INVENTORY!A:C,3,FALSE),"")*C78)</f>
        <v/>
      </c>
      <c r="G78" s="19">
        <f>IF(OR(B78="",C78=""),"",E78-F78)</f>
        <v/>
      </c>
    </row>
    <row r="79">
      <c r="A79" s="20" t="n"/>
      <c r="B79" s="18" t="n"/>
      <c r="C79" s="18" t="n"/>
      <c r="D79" s="19">
        <f>IF(OR(B79="",C79=""),"",IFERROR(VLOOKUP(B79,INVENTORY!A:D,4,FALSE),""))</f>
        <v/>
      </c>
      <c r="E79" s="19">
        <f>IF(OR(B79="",C79=""),"",D79*C79)</f>
        <v/>
      </c>
      <c r="F79" s="19">
        <f>IF(OR(B79="",C79=""),"",IFERROR(VLOOKUP(B79,INVENTORY!A:C,3,FALSE),"")*C79)</f>
        <v/>
      </c>
      <c r="G79" s="19">
        <f>IF(OR(B79="",C79=""),"",E79-F79)</f>
        <v/>
      </c>
    </row>
    <row r="80">
      <c r="A80" s="20" t="n"/>
      <c r="B80" s="18" t="n"/>
      <c r="C80" s="18" t="n"/>
      <c r="D80" s="19">
        <f>IF(OR(B80="",C80=""),"",IFERROR(VLOOKUP(B80,INVENTORY!A:D,4,FALSE),""))</f>
        <v/>
      </c>
      <c r="E80" s="19">
        <f>IF(OR(B80="",C80=""),"",D80*C80)</f>
        <v/>
      </c>
      <c r="F80" s="19">
        <f>IF(OR(B80="",C80=""),"",IFERROR(VLOOKUP(B80,INVENTORY!A:C,3,FALSE),"")*C80)</f>
        <v/>
      </c>
      <c r="G80" s="19">
        <f>IF(OR(B80="",C80=""),"",E80-F80)</f>
        <v/>
      </c>
    </row>
    <row r="81">
      <c r="A81" s="20" t="n"/>
      <c r="B81" s="18" t="n"/>
      <c r="C81" s="18" t="n"/>
      <c r="D81" s="19">
        <f>IF(OR(B81="",C81=""),"",IFERROR(VLOOKUP(B81,INVENTORY!A:D,4,FALSE),""))</f>
        <v/>
      </c>
      <c r="E81" s="19">
        <f>IF(OR(B81="",C81=""),"",D81*C81)</f>
        <v/>
      </c>
      <c r="F81" s="19">
        <f>IF(OR(B81="",C81=""),"",IFERROR(VLOOKUP(B81,INVENTORY!A:C,3,FALSE),"")*C81)</f>
        <v/>
      </c>
      <c r="G81" s="19">
        <f>IF(OR(B81="",C81=""),"",E81-F81)</f>
        <v/>
      </c>
    </row>
    <row r="82">
      <c r="A82" s="20" t="n"/>
      <c r="B82" s="18" t="n"/>
      <c r="C82" s="18" t="n"/>
      <c r="D82" s="19">
        <f>IF(OR(B82="",C82=""),"",IFERROR(VLOOKUP(B82,INVENTORY!A:D,4,FALSE),""))</f>
        <v/>
      </c>
      <c r="E82" s="19">
        <f>IF(OR(B82="",C82=""),"",D82*C82)</f>
        <v/>
      </c>
      <c r="F82" s="19">
        <f>IF(OR(B82="",C82=""),"",IFERROR(VLOOKUP(B82,INVENTORY!A:C,3,FALSE),"")*C82)</f>
        <v/>
      </c>
      <c r="G82" s="19">
        <f>IF(OR(B82="",C82=""),"",E82-F82)</f>
        <v/>
      </c>
    </row>
    <row r="83">
      <c r="A83" s="20" t="n"/>
      <c r="B83" s="18" t="n"/>
      <c r="C83" s="18" t="n"/>
      <c r="D83" s="19">
        <f>IF(OR(B83="",C83=""),"",IFERROR(VLOOKUP(B83,INVENTORY!A:D,4,FALSE),""))</f>
        <v/>
      </c>
      <c r="E83" s="19">
        <f>IF(OR(B83="",C83=""),"",D83*C83)</f>
        <v/>
      </c>
      <c r="F83" s="19">
        <f>IF(OR(B83="",C83=""),"",IFERROR(VLOOKUP(B83,INVENTORY!A:C,3,FALSE),"")*C83)</f>
        <v/>
      </c>
      <c r="G83" s="19">
        <f>IF(OR(B83="",C83=""),"",E83-F83)</f>
        <v/>
      </c>
    </row>
    <row r="84">
      <c r="A84" s="20" t="n"/>
      <c r="B84" s="18" t="n"/>
      <c r="C84" s="18" t="n"/>
      <c r="D84" s="19">
        <f>IF(OR(B84="",C84=""),"",IFERROR(VLOOKUP(B84,INVENTORY!A:D,4,FALSE),""))</f>
        <v/>
      </c>
      <c r="E84" s="19">
        <f>IF(OR(B84="",C84=""),"",D84*C84)</f>
        <v/>
      </c>
      <c r="F84" s="19">
        <f>IF(OR(B84="",C84=""),"",IFERROR(VLOOKUP(B84,INVENTORY!A:C,3,FALSE),"")*C84)</f>
        <v/>
      </c>
      <c r="G84" s="19">
        <f>IF(OR(B84="",C84=""),"",E84-F84)</f>
        <v/>
      </c>
    </row>
    <row r="85">
      <c r="A85" s="20" t="n"/>
      <c r="B85" s="18" t="n"/>
      <c r="C85" s="18" t="n"/>
      <c r="D85" s="19">
        <f>IF(OR(B85="",C85=""),"",IFERROR(VLOOKUP(B85,INVENTORY!A:D,4,FALSE),""))</f>
        <v/>
      </c>
      <c r="E85" s="19">
        <f>IF(OR(B85="",C85=""),"",D85*C85)</f>
        <v/>
      </c>
      <c r="F85" s="19">
        <f>IF(OR(B85="",C85=""),"",IFERROR(VLOOKUP(B85,INVENTORY!A:C,3,FALSE),"")*C85)</f>
        <v/>
      </c>
      <c r="G85" s="19">
        <f>IF(OR(B85="",C85=""),"",E85-F85)</f>
        <v/>
      </c>
    </row>
    <row r="86">
      <c r="A86" s="20" t="n"/>
      <c r="B86" s="18" t="n"/>
      <c r="C86" s="18" t="n"/>
      <c r="D86" s="19">
        <f>IF(OR(B86="",C86=""),"",IFERROR(VLOOKUP(B86,INVENTORY!A:D,4,FALSE),""))</f>
        <v/>
      </c>
      <c r="E86" s="19">
        <f>IF(OR(B86="",C86=""),"",D86*C86)</f>
        <v/>
      </c>
      <c r="F86" s="19">
        <f>IF(OR(B86="",C86=""),"",IFERROR(VLOOKUP(B86,INVENTORY!A:C,3,FALSE),"")*C86)</f>
        <v/>
      </c>
      <c r="G86" s="19">
        <f>IF(OR(B86="",C86=""),"",E86-F86)</f>
        <v/>
      </c>
    </row>
    <row r="87">
      <c r="A87" s="20" t="n"/>
      <c r="B87" s="18" t="n"/>
      <c r="C87" s="18" t="n"/>
      <c r="D87" s="19">
        <f>IF(OR(B87="",C87=""),"",IFERROR(VLOOKUP(B87,INVENTORY!A:D,4,FALSE),""))</f>
        <v/>
      </c>
      <c r="E87" s="19">
        <f>IF(OR(B87="",C87=""),"",D87*C87)</f>
        <v/>
      </c>
      <c r="F87" s="19">
        <f>IF(OR(B87="",C87=""),"",IFERROR(VLOOKUP(B87,INVENTORY!A:C,3,FALSE),"")*C87)</f>
        <v/>
      </c>
      <c r="G87" s="19">
        <f>IF(OR(B87="",C87=""),"",E87-F87)</f>
        <v/>
      </c>
    </row>
    <row r="88">
      <c r="A88" s="20" t="n"/>
      <c r="B88" s="18" t="n"/>
      <c r="C88" s="18" t="n"/>
      <c r="D88" s="19">
        <f>IF(OR(B88="",C88=""),"",IFERROR(VLOOKUP(B88,INVENTORY!A:D,4,FALSE),""))</f>
        <v/>
      </c>
      <c r="E88" s="19">
        <f>IF(OR(B88="",C88=""),"",D88*C88)</f>
        <v/>
      </c>
      <c r="F88" s="19">
        <f>IF(OR(B88="",C88=""),"",IFERROR(VLOOKUP(B88,INVENTORY!A:C,3,FALSE),"")*C88)</f>
        <v/>
      </c>
      <c r="G88" s="19">
        <f>IF(OR(B88="",C88=""),"",E88-F88)</f>
        <v/>
      </c>
    </row>
    <row r="89">
      <c r="A89" s="20" t="n"/>
      <c r="B89" s="18" t="n"/>
      <c r="C89" s="18" t="n"/>
      <c r="D89" s="19">
        <f>IF(OR(B89="",C89=""),"",IFERROR(VLOOKUP(B89,INVENTORY!A:D,4,FALSE),""))</f>
        <v/>
      </c>
      <c r="E89" s="19">
        <f>IF(OR(B89="",C89=""),"",D89*C89)</f>
        <v/>
      </c>
      <c r="F89" s="19">
        <f>IF(OR(B89="",C89=""),"",IFERROR(VLOOKUP(B89,INVENTORY!A:C,3,FALSE),"")*C89)</f>
        <v/>
      </c>
      <c r="G89" s="19">
        <f>IF(OR(B89="",C89=""),"",E89-F89)</f>
        <v/>
      </c>
    </row>
    <row r="90">
      <c r="A90" s="20" t="n"/>
      <c r="B90" s="18" t="n"/>
      <c r="C90" s="18" t="n"/>
      <c r="D90" s="19">
        <f>IF(OR(B90="",C90=""),"",IFERROR(VLOOKUP(B90,INVENTORY!A:D,4,FALSE),""))</f>
        <v/>
      </c>
      <c r="E90" s="19">
        <f>IF(OR(B90="",C90=""),"",D90*C90)</f>
        <v/>
      </c>
      <c r="F90" s="19">
        <f>IF(OR(B90="",C90=""),"",IFERROR(VLOOKUP(B90,INVENTORY!A:C,3,FALSE),"")*C90)</f>
        <v/>
      </c>
      <c r="G90" s="19">
        <f>IF(OR(B90="",C90=""),"",E90-F90)</f>
        <v/>
      </c>
    </row>
    <row r="91">
      <c r="A91" s="20" t="n"/>
      <c r="B91" s="18" t="n"/>
      <c r="C91" s="18" t="n"/>
      <c r="D91" s="19">
        <f>IF(OR(B91="",C91=""),"",IFERROR(VLOOKUP(B91,INVENTORY!A:D,4,FALSE),""))</f>
        <v/>
      </c>
      <c r="E91" s="19">
        <f>IF(OR(B91="",C91=""),"",D91*C91)</f>
        <v/>
      </c>
      <c r="F91" s="19">
        <f>IF(OR(B91="",C91=""),"",IFERROR(VLOOKUP(B91,INVENTORY!A:C,3,FALSE),"")*C91)</f>
        <v/>
      </c>
      <c r="G91" s="19">
        <f>IF(OR(B91="",C91=""),"",E91-F91)</f>
        <v/>
      </c>
    </row>
    <row r="92">
      <c r="A92" s="20" t="n"/>
      <c r="B92" s="18" t="n"/>
      <c r="C92" s="18" t="n"/>
      <c r="D92" s="19">
        <f>IF(OR(B92="",C92=""),"",IFERROR(VLOOKUP(B92,INVENTORY!A:D,4,FALSE),""))</f>
        <v/>
      </c>
      <c r="E92" s="19">
        <f>IF(OR(B92="",C92=""),"",D92*C92)</f>
        <v/>
      </c>
      <c r="F92" s="19">
        <f>IF(OR(B92="",C92=""),"",IFERROR(VLOOKUP(B92,INVENTORY!A:C,3,FALSE),"")*C92)</f>
        <v/>
      </c>
      <c r="G92" s="19">
        <f>IF(OR(B92="",C92=""),"",E92-F92)</f>
        <v/>
      </c>
    </row>
    <row r="93">
      <c r="A93" s="20" t="n"/>
      <c r="B93" s="18" t="n"/>
      <c r="C93" s="18" t="n"/>
      <c r="D93" s="19">
        <f>IF(OR(B93="",C93=""),"",IFERROR(VLOOKUP(B93,INVENTORY!A:D,4,FALSE),""))</f>
        <v/>
      </c>
      <c r="E93" s="19">
        <f>IF(OR(B93="",C93=""),"",D93*C93)</f>
        <v/>
      </c>
      <c r="F93" s="19">
        <f>IF(OR(B93="",C93=""),"",IFERROR(VLOOKUP(B93,INVENTORY!A:C,3,FALSE),"")*C93)</f>
        <v/>
      </c>
      <c r="G93" s="19">
        <f>IF(OR(B93="",C93=""),"",E93-F93)</f>
        <v/>
      </c>
    </row>
    <row r="94">
      <c r="A94" s="20" t="n"/>
      <c r="B94" s="18" t="n"/>
      <c r="C94" s="18" t="n"/>
      <c r="D94" s="19">
        <f>IF(OR(B94="",C94=""),"",IFERROR(VLOOKUP(B94,INVENTORY!A:D,4,FALSE),""))</f>
        <v/>
      </c>
      <c r="E94" s="19">
        <f>IF(OR(B94="",C94=""),"",D94*C94)</f>
        <v/>
      </c>
      <c r="F94" s="19">
        <f>IF(OR(B94="",C94=""),"",IFERROR(VLOOKUP(B94,INVENTORY!A:C,3,FALSE),"")*C94)</f>
        <v/>
      </c>
      <c r="G94" s="19">
        <f>IF(OR(B94="",C94=""),"",E94-F94)</f>
        <v/>
      </c>
    </row>
    <row r="95">
      <c r="A95" s="20" t="n"/>
      <c r="B95" s="18" t="n"/>
      <c r="C95" s="18" t="n"/>
      <c r="D95" s="19">
        <f>IF(OR(B95="",C95=""),"",IFERROR(VLOOKUP(B95,INVENTORY!A:D,4,FALSE),""))</f>
        <v/>
      </c>
      <c r="E95" s="19">
        <f>IF(OR(B95="",C95=""),"",D95*C95)</f>
        <v/>
      </c>
      <c r="F95" s="19">
        <f>IF(OR(B95="",C95=""),"",IFERROR(VLOOKUP(B95,INVENTORY!A:C,3,FALSE),"")*C95)</f>
        <v/>
      </c>
      <c r="G95" s="19">
        <f>IF(OR(B95="",C95=""),"",E95-F95)</f>
        <v/>
      </c>
    </row>
    <row r="96">
      <c r="A96" s="20" t="n"/>
      <c r="B96" s="18" t="n"/>
      <c r="C96" s="18" t="n"/>
      <c r="D96" s="19">
        <f>IF(OR(B96="",C96=""),"",IFERROR(VLOOKUP(B96,INVENTORY!A:D,4,FALSE),""))</f>
        <v/>
      </c>
      <c r="E96" s="19">
        <f>IF(OR(B96="",C96=""),"",D96*C96)</f>
        <v/>
      </c>
      <c r="F96" s="19">
        <f>IF(OR(B96="",C96=""),"",IFERROR(VLOOKUP(B96,INVENTORY!A:C,3,FALSE),"")*C96)</f>
        <v/>
      </c>
      <c r="G96" s="19">
        <f>IF(OR(B96="",C96=""),"",E96-F96)</f>
        <v/>
      </c>
    </row>
    <row r="97">
      <c r="A97" s="20" t="n"/>
      <c r="B97" s="18" t="n"/>
      <c r="C97" s="18" t="n"/>
      <c r="D97" s="19">
        <f>IF(OR(B97="",C97=""),"",IFERROR(VLOOKUP(B97,INVENTORY!A:D,4,FALSE),""))</f>
        <v/>
      </c>
      <c r="E97" s="19">
        <f>IF(OR(B97="",C97=""),"",D97*C97)</f>
        <v/>
      </c>
      <c r="F97" s="19">
        <f>IF(OR(B97="",C97=""),"",IFERROR(VLOOKUP(B97,INVENTORY!A:C,3,FALSE),"")*C97)</f>
        <v/>
      </c>
      <c r="G97" s="19">
        <f>IF(OR(B97="",C97=""),"",E97-F97)</f>
        <v/>
      </c>
    </row>
    <row r="98">
      <c r="A98" s="20" t="n"/>
      <c r="B98" s="18" t="n"/>
      <c r="C98" s="18" t="n"/>
      <c r="D98" s="19">
        <f>IF(OR(B98="",C98=""),"",IFERROR(VLOOKUP(B98,INVENTORY!A:D,4,FALSE),""))</f>
        <v/>
      </c>
      <c r="E98" s="19">
        <f>IF(OR(B98="",C98=""),"",D98*C98)</f>
        <v/>
      </c>
      <c r="F98" s="19">
        <f>IF(OR(B98="",C98=""),"",IFERROR(VLOOKUP(B98,INVENTORY!A:C,3,FALSE),"")*C98)</f>
        <v/>
      </c>
      <c r="G98" s="19">
        <f>IF(OR(B98="",C98=""),"",E98-F98)</f>
        <v/>
      </c>
    </row>
    <row r="99">
      <c r="A99" s="20" t="n"/>
      <c r="B99" s="18" t="n"/>
      <c r="C99" s="18" t="n"/>
      <c r="D99" s="19">
        <f>IF(OR(B99="",C99=""),"",IFERROR(VLOOKUP(B99,INVENTORY!A:D,4,FALSE),""))</f>
        <v/>
      </c>
      <c r="E99" s="19">
        <f>IF(OR(B99="",C99=""),"",D99*C99)</f>
        <v/>
      </c>
      <c r="F99" s="19">
        <f>IF(OR(B99="",C99=""),"",IFERROR(VLOOKUP(B99,INVENTORY!A:C,3,FALSE),"")*C99)</f>
        <v/>
      </c>
      <c r="G99" s="19">
        <f>IF(OR(B99="",C99=""),"",E99-F99)</f>
        <v/>
      </c>
    </row>
    <row r="100">
      <c r="A100" s="20" t="n"/>
      <c r="B100" s="18" t="n"/>
      <c r="C100" s="18" t="n"/>
      <c r="D100" s="19">
        <f>IF(OR(B100="",C100=""),"",IFERROR(VLOOKUP(B100,INVENTORY!A:D,4,FALSE),""))</f>
        <v/>
      </c>
      <c r="E100" s="19">
        <f>IF(OR(B100="",C100=""),"",D100*C100)</f>
        <v/>
      </c>
      <c r="F100" s="19">
        <f>IF(OR(B100="",C100=""),"",IFERROR(VLOOKUP(B100,INVENTORY!A:C,3,FALSE),"")*C100)</f>
        <v/>
      </c>
      <c r="G100" s="19">
        <f>IF(OR(B100="",C100=""),"",E100-F100)</f>
        <v/>
      </c>
    </row>
    <row r="101">
      <c r="A101" s="20" t="n"/>
      <c r="B101" s="18" t="n"/>
      <c r="C101" s="18" t="n"/>
      <c r="D101" s="19">
        <f>IF(OR(B101="",C101=""),"",IFERROR(VLOOKUP(B101,INVENTORY!A:D,4,FALSE),""))</f>
        <v/>
      </c>
      <c r="E101" s="19">
        <f>IF(OR(B101="",C101=""),"",D101*C101)</f>
        <v/>
      </c>
      <c r="F101" s="19">
        <f>IF(OR(B101="",C101=""),"",IFERROR(VLOOKUP(B101,INVENTORY!A:C,3,FALSE),"")*C101)</f>
        <v/>
      </c>
      <c r="G101" s="19">
        <f>IF(OR(B101="",C101=""),"",E101-F101)</f>
        <v/>
      </c>
    </row>
    <row r="102">
      <c r="A102" s="20" t="n"/>
      <c r="B102" s="18" t="n"/>
      <c r="C102" s="18" t="n"/>
      <c r="D102" s="19">
        <f>IF(OR(B102="",C102=""),"",IFERROR(VLOOKUP(B102,INVENTORY!A:D,4,FALSE),""))</f>
        <v/>
      </c>
      <c r="E102" s="19">
        <f>IF(OR(B102="",C102=""),"",D102*C102)</f>
        <v/>
      </c>
      <c r="F102" s="19">
        <f>IF(OR(B102="",C102=""),"",IFERROR(VLOOKUP(B102,INVENTORY!A:C,3,FALSE),"")*C102)</f>
        <v/>
      </c>
      <c r="G102" s="19">
        <f>IF(OR(B102="",C102=""),"",E102-F102)</f>
        <v/>
      </c>
    </row>
    <row r="103">
      <c r="A103" s="20" t="n"/>
      <c r="B103" s="18" t="n"/>
      <c r="C103" s="18" t="n"/>
      <c r="D103" s="19">
        <f>IF(OR(B103="",C103=""),"",IFERROR(VLOOKUP(B103,INVENTORY!A:D,4,FALSE),""))</f>
        <v/>
      </c>
      <c r="E103" s="19">
        <f>IF(OR(B103="",C103=""),"",D103*C103)</f>
        <v/>
      </c>
      <c r="F103" s="19">
        <f>IF(OR(B103="",C103=""),"",IFERROR(VLOOKUP(B103,INVENTORY!A:C,3,FALSE),"")*C103)</f>
        <v/>
      </c>
      <c r="G103" s="19">
        <f>IF(OR(B103="",C103=""),"",E103-F103)</f>
        <v/>
      </c>
    </row>
    <row r="104">
      <c r="A104" s="20" t="n"/>
      <c r="B104" s="18" t="n"/>
      <c r="C104" s="18" t="n"/>
      <c r="D104" s="19">
        <f>IF(OR(B104="",C104=""),"",IFERROR(VLOOKUP(B104,INVENTORY!A:D,4,FALSE),""))</f>
        <v/>
      </c>
      <c r="E104" s="19">
        <f>IF(OR(B104="",C104=""),"",D104*C104)</f>
        <v/>
      </c>
      <c r="F104" s="19">
        <f>IF(OR(B104="",C104=""),"",IFERROR(VLOOKUP(B104,INVENTORY!A:C,3,FALSE),"")*C104)</f>
        <v/>
      </c>
      <c r="G104" s="19">
        <f>IF(OR(B104="",C104=""),"",E104-F104)</f>
        <v/>
      </c>
    </row>
    <row r="105">
      <c r="A105" s="20" t="n"/>
      <c r="B105" s="18" t="n"/>
      <c r="C105" s="18" t="n"/>
      <c r="D105" s="19">
        <f>IF(OR(B105="",C105=""),"",IFERROR(VLOOKUP(B105,INVENTORY!A:D,4,FALSE),""))</f>
        <v/>
      </c>
      <c r="E105" s="19">
        <f>IF(OR(B105="",C105=""),"",D105*C105)</f>
        <v/>
      </c>
      <c r="F105" s="19">
        <f>IF(OR(B105="",C105=""),"",IFERROR(VLOOKUP(B105,INVENTORY!A:C,3,FALSE),"")*C105)</f>
        <v/>
      </c>
      <c r="G105" s="19">
        <f>IF(OR(B105="",C105=""),"",E105-F105)</f>
        <v/>
      </c>
    </row>
    <row r="106">
      <c r="A106" s="20" t="n"/>
      <c r="B106" s="18" t="n"/>
      <c r="C106" s="18" t="n"/>
      <c r="D106" s="19">
        <f>IF(OR(B106="",C106=""),"",IFERROR(VLOOKUP(B106,INVENTORY!A:D,4,FALSE),""))</f>
        <v/>
      </c>
      <c r="E106" s="19">
        <f>IF(OR(B106="",C106=""),"",D106*C106)</f>
        <v/>
      </c>
      <c r="F106" s="19">
        <f>IF(OR(B106="",C106=""),"",IFERROR(VLOOKUP(B106,INVENTORY!A:C,3,FALSE),"")*C106)</f>
        <v/>
      </c>
      <c r="G106" s="19">
        <f>IF(OR(B106="",C106=""),"",E106-F106)</f>
        <v/>
      </c>
    </row>
    <row r="107">
      <c r="A107" s="20" t="n"/>
      <c r="B107" s="18" t="n"/>
      <c r="C107" s="18" t="n"/>
      <c r="D107" s="19">
        <f>IF(OR(B107="",C107=""),"",IFERROR(VLOOKUP(B107,INVENTORY!A:D,4,FALSE),""))</f>
        <v/>
      </c>
      <c r="E107" s="19">
        <f>IF(OR(B107="",C107=""),"",D107*C107)</f>
        <v/>
      </c>
      <c r="F107" s="19">
        <f>IF(OR(B107="",C107=""),"",IFERROR(VLOOKUP(B107,INVENTORY!A:C,3,FALSE),"")*C107)</f>
        <v/>
      </c>
      <c r="G107" s="19">
        <f>IF(OR(B107="",C107=""),"",E107-F107)</f>
        <v/>
      </c>
    </row>
    <row r="108">
      <c r="A108" s="20" t="n"/>
      <c r="B108" s="18" t="n"/>
      <c r="C108" s="18" t="n"/>
      <c r="D108" s="19">
        <f>IF(OR(B108="",C108=""),"",IFERROR(VLOOKUP(B108,INVENTORY!A:D,4,FALSE),""))</f>
        <v/>
      </c>
      <c r="E108" s="19">
        <f>IF(OR(B108="",C108=""),"",D108*C108)</f>
        <v/>
      </c>
      <c r="F108" s="19">
        <f>IF(OR(B108="",C108=""),"",IFERROR(VLOOKUP(B108,INVENTORY!A:C,3,FALSE),"")*C108)</f>
        <v/>
      </c>
      <c r="G108" s="19">
        <f>IF(OR(B108="",C108=""),"",E108-F108)</f>
        <v/>
      </c>
    </row>
    <row r="109">
      <c r="A109" s="20" t="n"/>
      <c r="B109" s="18" t="n"/>
      <c r="C109" s="18" t="n"/>
      <c r="D109" s="19">
        <f>IF(OR(B109="",C109=""),"",IFERROR(VLOOKUP(B109,INVENTORY!A:D,4,FALSE),""))</f>
        <v/>
      </c>
      <c r="E109" s="19">
        <f>IF(OR(B109="",C109=""),"",D109*C109)</f>
        <v/>
      </c>
      <c r="F109" s="19">
        <f>IF(OR(B109="",C109=""),"",IFERROR(VLOOKUP(B109,INVENTORY!A:C,3,FALSE),"")*C109)</f>
        <v/>
      </c>
      <c r="G109" s="19">
        <f>IF(OR(B109="",C109=""),"",E109-F109)</f>
        <v/>
      </c>
    </row>
    <row r="110">
      <c r="A110" s="20" t="n"/>
      <c r="B110" s="18" t="n"/>
      <c r="C110" s="18" t="n"/>
      <c r="D110" s="19">
        <f>IF(OR(B110="",C110=""),"",IFERROR(VLOOKUP(B110,INVENTORY!A:D,4,FALSE),""))</f>
        <v/>
      </c>
      <c r="E110" s="19">
        <f>IF(OR(B110="",C110=""),"",D110*C110)</f>
        <v/>
      </c>
      <c r="F110" s="19">
        <f>IF(OR(B110="",C110=""),"",IFERROR(VLOOKUP(B110,INVENTORY!A:C,3,FALSE),"")*C110)</f>
        <v/>
      </c>
      <c r="G110" s="19">
        <f>IF(OR(B110="",C110=""),"",E110-F110)</f>
        <v/>
      </c>
    </row>
    <row r="111">
      <c r="A111" s="20" t="n"/>
      <c r="B111" s="18" t="n"/>
      <c r="C111" s="18" t="n"/>
      <c r="D111" s="19">
        <f>IF(OR(B111="",C111=""),"",IFERROR(VLOOKUP(B111,INVENTORY!A:D,4,FALSE),""))</f>
        <v/>
      </c>
      <c r="E111" s="19">
        <f>IF(OR(B111="",C111=""),"",D111*C111)</f>
        <v/>
      </c>
      <c r="F111" s="19">
        <f>IF(OR(B111="",C111=""),"",IFERROR(VLOOKUP(B111,INVENTORY!A:C,3,FALSE),"")*C111)</f>
        <v/>
      </c>
      <c r="G111" s="19">
        <f>IF(OR(B111="",C111=""),"",E111-F111)</f>
        <v/>
      </c>
    </row>
    <row r="112">
      <c r="A112" s="20" t="n"/>
      <c r="B112" s="18" t="n"/>
      <c r="C112" s="18" t="n"/>
      <c r="D112" s="19">
        <f>IF(OR(B112="",C112=""),"",IFERROR(VLOOKUP(B112,INVENTORY!A:D,4,FALSE),""))</f>
        <v/>
      </c>
      <c r="E112" s="19">
        <f>IF(OR(B112="",C112=""),"",D112*C112)</f>
        <v/>
      </c>
      <c r="F112" s="19">
        <f>IF(OR(B112="",C112=""),"",IFERROR(VLOOKUP(B112,INVENTORY!A:C,3,FALSE),"")*C112)</f>
        <v/>
      </c>
      <c r="G112" s="19">
        <f>IF(OR(B112="",C112=""),"",E112-F112)</f>
        <v/>
      </c>
    </row>
    <row r="113">
      <c r="A113" s="20" t="n"/>
      <c r="B113" s="18" t="n"/>
      <c r="C113" s="18" t="n"/>
      <c r="D113" s="19">
        <f>IF(OR(B113="",C113=""),"",IFERROR(VLOOKUP(B113,INVENTORY!A:D,4,FALSE),""))</f>
        <v/>
      </c>
      <c r="E113" s="19">
        <f>IF(OR(B113="",C113=""),"",D113*C113)</f>
        <v/>
      </c>
      <c r="F113" s="19">
        <f>IF(OR(B113="",C113=""),"",IFERROR(VLOOKUP(B113,INVENTORY!A:C,3,FALSE),"")*C113)</f>
        <v/>
      </c>
      <c r="G113" s="19">
        <f>IF(OR(B113="",C113=""),"",E113-F113)</f>
        <v/>
      </c>
    </row>
    <row r="114">
      <c r="A114" s="20" t="n"/>
      <c r="B114" s="18" t="n"/>
      <c r="C114" s="18" t="n"/>
      <c r="D114" s="19">
        <f>IF(OR(B114="",C114=""),"",IFERROR(VLOOKUP(B114,INVENTORY!A:D,4,FALSE),""))</f>
        <v/>
      </c>
      <c r="E114" s="19">
        <f>IF(OR(B114="",C114=""),"",D114*C114)</f>
        <v/>
      </c>
      <c r="F114" s="19">
        <f>IF(OR(B114="",C114=""),"",IFERROR(VLOOKUP(B114,INVENTORY!A:C,3,FALSE),"")*C114)</f>
        <v/>
      </c>
      <c r="G114" s="19">
        <f>IF(OR(B114="",C114=""),"",E114-F114)</f>
        <v/>
      </c>
    </row>
    <row r="115">
      <c r="A115" s="20" t="n"/>
      <c r="B115" s="18" t="n"/>
      <c r="C115" s="18" t="n"/>
      <c r="D115" s="19">
        <f>IF(OR(B115="",C115=""),"",IFERROR(VLOOKUP(B115,INVENTORY!A:D,4,FALSE),""))</f>
        <v/>
      </c>
      <c r="E115" s="19">
        <f>IF(OR(B115="",C115=""),"",D115*C115)</f>
        <v/>
      </c>
      <c r="F115" s="19">
        <f>IF(OR(B115="",C115=""),"",IFERROR(VLOOKUP(B115,INVENTORY!A:C,3,FALSE),"")*C115)</f>
        <v/>
      </c>
      <c r="G115" s="19">
        <f>IF(OR(B115="",C115=""),"",E115-F115)</f>
        <v/>
      </c>
    </row>
    <row r="116">
      <c r="A116" s="20" t="n"/>
      <c r="B116" s="18" t="n"/>
      <c r="C116" s="18" t="n"/>
      <c r="D116" s="19">
        <f>IF(OR(B116="",C116=""),"",IFERROR(VLOOKUP(B116,INVENTORY!A:D,4,FALSE),""))</f>
        <v/>
      </c>
      <c r="E116" s="19">
        <f>IF(OR(B116="",C116=""),"",D116*C116)</f>
        <v/>
      </c>
      <c r="F116" s="19">
        <f>IF(OR(B116="",C116=""),"",IFERROR(VLOOKUP(B116,INVENTORY!A:C,3,FALSE),"")*C116)</f>
        <v/>
      </c>
      <c r="G116" s="19">
        <f>IF(OR(B116="",C116=""),"",E116-F116)</f>
        <v/>
      </c>
    </row>
    <row r="117">
      <c r="A117" s="20" t="n"/>
      <c r="B117" s="18" t="n"/>
      <c r="C117" s="18" t="n"/>
      <c r="D117" s="19">
        <f>IF(OR(B117="",C117=""),"",IFERROR(VLOOKUP(B117,INVENTORY!A:D,4,FALSE),""))</f>
        <v/>
      </c>
      <c r="E117" s="19">
        <f>IF(OR(B117="",C117=""),"",D117*C117)</f>
        <v/>
      </c>
      <c r="F117" s="19">
        <f>IF(OR(B117="",C117=""),"",IFERROR(VLOOKUP(B117,INVENTORY!A:C,3,FALSE),"")*C117)</f>
        <v/>
      </c>
      <c r="G117" s="19">
        <f>IF(OR(B117="",C117=""),"",E117-F117)</f>
        <v/>
      </c>
    </row>
    <row r="118">
      <c r="A118" s="20" t="n"/>
      <c r="B118" s="18" t="n"/>
      <c r="C118" s="18" t="n"/>
      <c r="D118" s="19">
        <f>IF(OR(B118="",C118=""),"",IFERROR(VLOOKUP(B118,INVENTORY!A:D,4,FALSE),""))</f>
        <v/>
      </c>
      <c r="E118" s="19">
        <f>IF(OR(B118="",C118=""),"",D118*C118)</f>
        <v/>
      </c>
      <c r="F118" s="19">
        <f>IF(OR(B118="",C118=""),"",IFERROR(VLOOKUP(B118,INVENTORY!A:C,3,FALSE),"")*C118)</f>
        <v/>
      </c>
      <c r="G118" s="19">
        <f>IF(OR(B118="",C118=""),"",E118-F118)</f>
        <v/>
      </c>
    </row>
    <row r="119">
      <c r="A119" s="20" t="n"/>
      <c r="B119" s="18" t="n"/>
      <c r="C119" s="18" t="n"/>
      <c r="D119" s="19">
        <f>IF(OR(B119="",C119=""),"",IFERROR(VLOOKUP(B119,INVENTORY!A:D,4,FALSE),""))</f>
        <v/>
      </c>
      <c r="E119" s="19">
        <f>IF(OR(B119="",C119=""),"",D119*C119)</f>
        <v/>
      </c>
      <c r="F119" s="19">
        <f>IF(OR(B119="",C119=""),"",IFERROR(VLOOKUP(B119,INVENTORY!A:C,3,FALSE),"")*C119)</f>
        <v/>
      </c>
      <c r="G119" s="19">
        <f>IF(OR(B119="",C119=""),"",E119-F119)</f>
        <v/>
      </c>
    </row>
    <row r="120">
      <c r="A120" s="20" t="n"/>
      <c r="B120" s="18" t="n"/>
      <c r="C120" s="18" t="n"/>
      <c r="D120" s="19">
        <f>IF(OR(B120="",C120=""),"",IFERROR(VLOOKUP(B120,INVENTORY!A:D,4,FALSE),""))</f>
        <v/>
      </c>
      <c r="E120" s="19">
        <f>IF(OR(B120="",C120=""),"",D120*C120)</f>
        <v/>
      </c>
      <c r="F120" s="19">
        <f>IF(OR(B120="",C120=""),"",IFERROR(VLOOKUP(B120,INVENTORY!A:C,3,FALSE),"")*C120)</f>
        <v/>
      </c>
      <c r="G120" s="19">
        <f>IF(OR(B120="",C120=""),"",E120-F120)</f>
        <v/>
      </c>
    </row>
    <row r="121">
      <c r="A121" s="20" t="n"/>
      <c r="B121" s="18" t="n"/>
      <c r="C121" s="18" t="n"/>
      <c r="D121" s="19">
        <f>IF(OR(B121="",C121=""),"",IFERROR(VLOOKUP(B121,INVENTORY!A:D,4,FALSE),""))</f>
        <v/>
      </c>
      <c r="E121" s="19">
        <f>IF(OR(B121="",C121=""),"",D121*C121)</f>
        <v/>
      </c>
      <c r="F121" s="19">
        <f>IF(OR(B121="",C121=""),"",IFERROR(VLOOKUP(B121,INVENTORY!A:C,3,FALSE),"")*C121)</f>
        <v/>
      </c>
      <c r="G121" s="19">
        <f>IF(OR(B121="",C121=""),"",E121-F121)</f>
        <v/>
      </c>
    </row>
    <row r="122">
      <c r="A122" s="20" t="n"/>
      <c r="B122" s="18" t="n"/>
      <c r="C122" s="18" t="n"/>
      <c r="D122" s="19">
        <f>IF(OR(B122="",C122=""),"",IFERROR(VLOOKUP(B122,INVENTORY!A:D,4,FALSE),""))</f>
        <v/>
      </c>
      <c r="E122" s="19">
        <f>IF(OR(B122="",C122=""),"",D122*C122)</f>
        <v/>
      </c>
      <c r="F122" s="19">
        <f>IF(OR(B122="",C122=""),"",IFERROR(VLOOKUP(B122,INVENTORY!A:C,3,FALSE),"")*C122)</f>
        <v/>
      </c>
      <c r="G122" s="19">
        <f>IF(OR(B122="",C122=""),"",E122-F122)</f>
        <v/>
      </c>
    </row>
    <row r="123">
      <c r="A123" s="20" t="n"/>
      <c r="B123" s="18" t="n"/>
      <c r="C123" s="18" t="n"/>
      <c r="D123" s="19">
        <f>IF(OR(B123="",C123=""),"",IFERROR(VLOOKUP(B123,INVENTORY!A:D,4,FALSE),""))</f>
        <v/>
      </c>
      <c r="E123" s="19">
        <f>IF(OR(B123="",C123=""),"",D123*C123)</f>
        <v/>
      </c>
      <c r="F123" s="19">
        <f>IF(OR(B123="",C123=""),"",IFERROR(VLOOKUP(B123,INVENTORY!A:C,3,FALSE),"")*C123)</f>
        <v/>
      </c>
      <c r="G123" s="19">
        <f>IF(OR(B123="",C123=""),"",E123-F123)</f>
        <v/>
      </c>
    </row>
    <row r="124">
      <c r="A124" s="20" t="n"/>
      <c r="B124" s="18" t="n"/>
      <c r="C124" s="18" t="n"/>
      <c r="D124" s="19">
        <f>IF(OR(B124="",C124=""),"",IFERROR(VLOOKUP(B124,INVENTORY!A:D,4,FALSE),""))</f>
        <v/>
      </c>
      <c r="E124" s="19">
        <f>IF(OR(B124="",C124=""),"",D124*C124)</f>
        <v/>
      </c>
      <c r="F124" s="19">
        <f>IF(OR(B124="",C124=""),"",IFERROR(VLOOKUP(B124,INVENTORY!A:C,3,FALSE),"")*C124)</f>
        <v/>
      </c>
      <c r="G124" s="19">
        <f>IF(OR(B124="",C124=""),"",E124-F124)</f>
        <v/>
      </c>
    </row>
    <row r="125">
      <c r="A125" s="20" t="n"/>
      <c r="B125" s="18" t="n"/>
      <c r="C125" s="18" t="n"/>
      <c r="D125" s="19">
        <f>IF(OR(B125="",C125=""),"",IFERROR(VLOOKUP(B125,INVENTORY!A:D,4,FALSE),""))</f>
        <v/>
      </c>
      <c r="E125" s="19">
        <f>IF(OR(B125="",C125=""),"",D125*C125)</f>
        <v/>
      </c>
      <c r="F125" s="19">
        <f>IF(OR(B125="",C125=""),"",IFERROR(VLOOKUP(B125,INVENTORY!A:C,3,FALSE),"")*C125)</f>
        <v/>
      </c>
      <c r="G125" s="19">
        <f>IF(OR(B125="",C125=""),"",E125-F125)</f>
        <v/>
      </c>
    </row>
    <row r="126">
      <c r="A126" s="20" t="n"/>
      <c r="B126" s="18" t="n"/>
      <c r="C126" s="18" t="n"/>
      <c r="D126" s="19">
        <f>IF(OR(B126="",C126=""),"",IFERROR(VLOOKUP(B126,INVENTORY!A:D,4,FALSE),""))</f>
        <v/>
      </c>
      <c r="E126" s="19">
        <f>IF(OR(B126="",C126=""),"",D126*C126)</f>
        <v/>
      </c>
      <c r="F126" s="19">
        <f>IF(OR(B126="",C126=""),"",IFERROR(VLOOKUP(B126,INVENTORY!A:C,3,FALSE),"")*C126)</f>
        <v/>
      </c>
      <c r="G126" s="19">
        <f>IF(OR(B126="",C126=""),"",E126-F126)</f>
        <v/>
      </c>
    </row>
    <row r="127">
      <c r="A127" s="20" t="n"/>
      <c r="B127" s="18" t="n"/>
      <c r="C127" s="18" t="n"/>
      <c r="D127" s="19">
        <f>IF(OR(B127="",C127=""),"",IFERROR(VLOOKUP(B127,INVENTORY!A:D,4,FALSE),""))</f>
        <v/>
      </c>
      <c r="E127" s="19">
        <f>IF(OR(B127="",C127=""),"",D127*C127)</f>
        <v/>
      </c>
      <c r="F127" s="19">
        <f>IF(OR(B127="",C127=""),"",IFERROR(VLOOKUP(B127,INVENTORY!A:C,3,FALSE),"")*C127)</f>
        <v/>
      </c>
      <c r="G127" s="19">
        <f>IF(OR(B127="",C127=""),"",E127-F127)</f>
        <v/>
      </c>
    </row>
    <row r="128">
      <c r="A128" s="20" t="n"/>
      <c r="B128" s="18" t="n"/>
      <c r="C128" s="18" t="n"/>
      <c r="D128" s="19">
        <f>IF(OR(B128="",C128=""),"",IFERROR(VLOOKUP(B128,INVENTORY!A:D,4,FALSE),""))</f>
        <v/>
      </c>
      <c r="E128" s="19">
        <f>IF(OR(B128="",C128=""),"",D128*C128)</f>
        <v/>
      </c>
      <c r="F128" s="19">
        <f>IF(OR(B128="",C128=""),"",IFERROR(VLOOKUP(B128,INVENTORY!A:C,3,FALSE),"")*C128)</f>
        <v/>
      </c>
      <c r="G128" s="19">
        <f>IF(OR(B128="",C128=""),"",E128-F128)</f>
        <v/>
      </c>
    </row>
    <row r="129">
      <c r="A129" s="20" t="n"/>
      <c r="B129" s="18" t="n"/>
      <c r="C129" s="18" t="n"/>
      <c r="D129" s="19">
        <f>IF(OR(B129="",C129=""),"",IFERROR(VLOOKUP(B129,INVENTORY!A:D,4,FALSE),""))</f>
        <v/>
      </c>
      <c r="E129" s="19">
        <f>IF(OR(B129="",C129=""),"",D129*C129)</f>
        <v/>
      </c>
      <c r="F129" s="19">
        <f>IF(OR(B129="",C129=""),"",IFERROR(VLOOKUP(B129,INVENTORY!A:C,3,FALSE),"")*C129)</f>
        <v/>
      </c>
      <c r="G129" s="19">
        <f>IF(OR(B129="",C129=""),"",E129-F129)</f>
        <v/>
      </c>
    </row>
    <row r="130">
      <c r="A130" s="20" t="n"/>
      <c r="B130" s="18" t="n"/>
      <c r="C130" s="18" t="n"/>
      <c r="D130" s="19">
        <f>IF(OR(B130="",C130=""),"",IFERROR(VLOOKUP(B130,INVENTORY!A:D,4,FALSE),""))</f>
        <v/>
      </c>
      <c r="E130" s="19">
        <f>IF(OR(B130="",C130=""),"",D130*C130)</f>
        <v/>
      </c>
      <c r="F130" s="19">
        <f>IF(OR(B130="",C130=""),"",IFERROR(VLOOKUP(B130,INVENTORY!A:C,3,FALSE),"")*C130)</f>
        <v/>
      </c>
      <c r="G130" s="19">
        <f>IF(OR(B130="",C130=""),"",E130-F130)</f>
        <v/>
      </c>
    </row>
    <row r="131">
      <c r="A131" s="20" t="n"/>
      <c r="B131" s="18" t="n"/>
      <c r="C131" s="18" t="n"/>
      <c r="D131" s="19">
        <f>IF(OR(B131="",C131=""),"",IFERROR(VLOOKUP(B131,INVENTORY!A:D,4,FALSE),""))</f>
        <v/>
      </c>
      <c r="E131" s="19">
        <f>IF(OR(B131="",C131=""),"",D131*C131)</f>
        <v/>
      </c>
      <c r="F131" s="19">
        <f>IF(OR(B131="",C131=""),"",IFERROR(VLOOKUP(B131,INVENTORY!A:C,3,FALSE),"")*C131)</f>
        <v/>
      </c>
      <c r="G131" s="19">
        <f>IF(OR(B131="",C131=""),"",E131-F131)</f>
        <v/>
      </c>
    </row>
    <row r="132">
      <c r="A132" s="20" t="n"/>
      <c r="B132" s="18" t="n"/>
      <c r="C132" s="18" t="n"/>
      <c r="D132" s="19">
        <f>IF(OR(B132="",C132=""),"",IFERROR(VLOOKUP(B132,INVENTORY!A:D,4,FALSE),""))</f>
        <v/>
      </c>
      <c r="E132" s="19">
        <f>IF(OR(B132="",C132=""),"",D132*C132)</f>
        <v/>
      </c>
      <c r="F132" s="19">
        <f>IF(OR(B132="",C132=""),"",IFERROR(VLOOKUP(B132,INVENTORY!A:C,3,FALSE),"")*C132)</f>
        <v/>
      </c>
      <c r="G132" s="19">
        <f>IF(OR(B132="",C132=""),"",E132-F132)</f>
        <v/>
      </c>
    </row>
    <row r="133">
      <c r="A133" s="20" t="n"/>
      <c r="B133" s="18" t="n"/>
      <c r="C133" s="18" t="n"/>
      <c r="D133" s="19">
        <f>IF(OR(B133="",C133=""),"",IFERROR(VLOOKUP(B133,INVENTORY!A:D,4,FALSE),""))</f>
        <v/>
      </c>
      <c r="E133" s="19">
        <f>IF(OR(B133="",C133=""),"",D133*C133)</f>
        <v/>
      </c>
      <c r="F133" s="19">
        <f>IF(OR(B133="",C133=""),"",IFERROR(VLOOKUP(B133,INVENTORY!A:C,3,FALSE),"")*C133)</f>
        <v/>
      </c>
      <c r="G133" s="19">
        <f>IF(OR(B133="",C133=""),"",E133-F133)</f>
        <v/>
      </c>
    </row>
    <row r="134">
      <c r="A134" s="20" t="n"/>
      <c r="B134" s="18" t="n"/>
      <c r="C134" s="18" t="n"/>
      <c r="D134" s="19">
        <f>IF(OR(B134="",C134=""),"",IFERROR(VLOOKUP(B134,INVENTORY!A:D,4,FALSE),""))</f>
        <v/>
      </c>
      <c r="E134" s="19">
        <f>IF(OR(B134="",C134=""),"",D134*C134)</f>
        <v/>
      </c>
      <c r="F134" s="19">
        <f>IF(OR(B134="",C134=""),"",IFERROR(VLOOKUP(B134,INVENTORY!A:C,3,FALSE),"")*C134)</f>
        <v/>
      </c>
      <c r="G134" s="19">
        <f>IF(OR(B134="",C134=""),"",E134-F134)</f>
        <v/>
      </c>
    </row>
    <row r="135">
      <c r="A135" s="20" t="n"/>
      <c r="B135" s="18" t="n"/>
      <c r="C135" s="18" t="n"/>
      <c r="D135" s="19">
        <f>IF(OR(B135="",C135=""),"",IFERROR(VLOOKUP(B135,INVENTORY!A:D,4,FALSE),""))</f>
        <v/>
      </c>
      <c r="E135" s="19">
        <f>IF(OR(B135="",C135=""),"",D135*C135)</f>
        <v/>
      </c>
      <c r="F135" s="19">
        <f>IF(OR(B135="",C135=""),"",IFERROR(VLOOKUP(B135,INVENTORY!A:C,3,FALSE),"")*C135)</f>
        <v/>
      </c>
      <c r="G135" s="19">
        <f>IF(OR(B135="",C135=""),"",E135-F135)</f>
        <v/>
      </c>
    </row>
    <row r="136">
      <c r="A136" s="20" t="n"/>
      <c r="B136" s="18" t="n"/>
      <c r="C136" s="18" t="n"/>
      <c r="D136" s="19">
        <f>IF(OR(B136="",C136=""),"",IFERROR(VLOOKUP(B136,INVENTORY!A:D,4,FALSE),""))</f>
        <v/>
      </c>
      <c r="E136" s="19">
        <f>IF(OR(B136="",C136=""),"",D136*C136)</f>
        <v/>
      </c>
      <c r="F136" s="19">
        <f>IF(OR(B136="",C136=""),"",IFERROR(VLOOKUP(B136,INVENTORY!A:C,3,FALSE),"")*C136)</f>
        <v/>
      </c>
      <c r="G136" s="19">
        <f>IF(OR(B136="",C136=""),"",E136-F136)</f>
        <v/>
      </c>
    </row>
    <row r="137">
      <c r="A137" s="20" t="n"/>
      <c r="B137" s="18" t="n"/>
      <c r="C137" s="18" t="n"/>
      <c r="D137" s="19">
        <f>IF(OR(B137="",C137=""),"",IFERROR(VLOOKUP(B137,INVENTORY!A:D,4,FALSE),""))</f>
        <v/>
      </c>
      <c r="E137" s="19">
        <f>IF(OR(B137="",C137=""),"",D137*C137)</f>
        <v/>
      </c>
      <c r="F137" s="19">
        <f>IF(OR(B137="",C137=""),"",IFERROR(VLOOKUP(B137,INVENTORY!A:C,3,FALSE),"")*C137)</f>
        <v/>
      </c>
      <c r="G137" s="19">
        <f>IF(OR(B137="",C137=""),"",E137-F137)</f>
        <v/>
      </c>
    </row>
    <row r="138">
      <c r="A138" s="20" t="n"/>
      <c r="B138" s="18" t="n"/>
      <c r="C138" s="18" t="n"/>
      <c r="D138" s="19">
        <f>IF(OR(B138="",C138=""),"",IFERROR(VLOOKUP(B138,INVENTORY!A:D,4,FALSE),""))</f>
        <v/>
      </c>
      <c r="E138" s="19">
        <f>IF(OR(B138="",C138=""),"",D138*C138)</f>
        <v/>
      </c>
      <c r="F138" s="19">
        <f>IF(OR(B138="",C138=""),"",IFERROR(VLOOKUP(B138,INVENTORY!A:C,3,FALSE),"")*C138)</f>
        <v/>
      </c>
      <c r="G138" s="19">
        <f>IF(OR(B138="",C138=""),"",E138-F138)</f>
        <v/>
      </c>
    </row>
    <row r="139">
      <c r="A139" s="20" t="n"/>
      <c r="B139" s="18" t="n"/>
      <c r="C139" s="18" t="n"/>
      <c r="D139" s="19">
        <f>IF(OR(B139="",C139=""),"",IFERROR(VLOOKUP(B139,INVENTORY!A:D,4,FALSE),""))</f>
        <v/>
      </c>
      <c r="E139" s="19">
        <f>IF(OR(B139="",C139=""),"",D139*C139)</f>
        <v/>
      </c>
      <c r="F139" s="19">
        <f>IF(OR(B139="",C139=""),"",IFERROR(VLOOKUP(B139,INVENTORY!A:C,3,FALSE),"")*C139)</f>
        <v/>
      </c>
      <c r="G139" s="19">
        <f>IF(OR(B139="",C139=""),"",E139-F139)</f>
        <v/>
      </c>
    </row>
    <row r="140">
      <c r="A140" s="20" t="n"/>
      <c r="B140" s="18" t="n"/>
      <c r="C140" s="18" t="n"/>
      <c r="D140" s="19">
        <f>IF(OR(B140="",C140=""),"",IFERROR(VLOOKUP(B140,INVENTORY!A:D,4,FALSE),""))</f>
        <v/>
      </c>
      <c r="E140" s="19">
        <f>IF(OR(B140="",C140=""),"",D140*C140)</f>
        <v/>
      </c>
      <c r="F140" s="19">
        <f>IF(OR(B140="",C140=""),"",IFERROR(VLOOKUP(B140,INVENTORY!A:C,3,FALSE),"")*C140)</f>
        <v/>
      </c>
      <c r="G140" s="19">
        <f>IF(OR(B140="",C140=""),"",E140-F140)</f>
        <v/>
      </c>
    </row>
    <row r="141">
      <c r="A141" s="20" t="n"/>
      <c r="B141" s="18" t="n"/>
      <c r="C141" s="18" t="n"/>
      <c r="D141" s="19">
        <f>IF(OR(B141="",C141=""),"",IFERROR(VLOOKUP(B141,INVENTORY!A:D,4,FALSE),""))</f>
        <v/>
      </c>
      <c r="E141" s="19">
        <f>IF(OR(B141="",C141=""),"",D141*C141)</f>
        <v/>
      </c>
      <c r="F141" s="19">
        <f>IF(OR(B141="",C141=""),"",IFERROR(VLOOKUP(B141,INVENTORY!A:C,3,FALSE),"")*C141)</f>
        <v/>
      </c>
      <c r="G141" s="19">
        <f>IF(OR(B141="",C141=""),"",E141-F141)</f>
        <v/>
      </c>
    </row>
    <row r="142">
      <c r="A142" s="20" t="n"/>
      <c r="B142" s="18" t="n"/>
      <c r="C142" s="18" t="n"/>
      <c r="D142" s="19">
        <f>IF(OR(B142="",C142=""),"",IFERROR(VLOOKUP(B142,INVENTORY!A:D,4,FALSE),""))</f>
        <v/>
      </c>
      <c r="E142" s="19">
        <f>IF(OR(B142="",C142=""),"",D142*C142)</f>
        <v/>
      </c>
      <c r="F142" s="19">
        <f>IF(OR(B142="",C142=""),"",IFERROR(VLOOKUP(B142,INVENTORY!A:C,3,FALSE),"")*C142)</f>
        <v/>
      </c>
      <c r="G142" s="19">
        <f>IF(OR(B142="",C142=""),"",E142-F142)</f>
        <v/>
      </c>
    </row>
    <row r="143">
      <c r="A143" s="20" t="n"/>
      <c r="B143" s="18" t="n"/>
      <c r="C143" s="18" t="n"/>
      <c r="D143" s="19">
        <f>IF(OR(B143="",C143=""),"",IFERROR(VLOOKUP(B143,INVENTORY!A:D,4,FALSE),""))</f>
        <v/>
      </c>
      <c r="E143" s="19">
        <f>IF(OR(B143="",C143=""),"",D143*C143)</f>
        <v/>
      </c>
      <c r="F143" s="19">
        <f>IF(OR(B143="",C143=""),"",IFERROR(VLOOKUP(B143,INVENTORY!A:C,3,FALSE),"")*C143)</f>
        <v/>
      </c>
      <c r="G143" s="19">
        <f>IF(OR(B143="",C143=""),"",E143-F143)</f>
        <v/>
      </c>
    </row>
    <row r="144">
      <c r="A144" s="20" t="n"/>
      <c r="B144" s="18" t="n"/>
      <c r="C144" s="18" t="n"/>
      <c r="D144" s="19">
        <f>IF(OR(B144="",C144=""),"",IFERROR(VLOOKUP(B144,INVENTORY!A:D,4,FALSE),""))</f>
        <v/>
      </c>
      <c r="E144" s="19">
        <f>IF(OR(B144="",C144=""),"",D144*C144)</f>
        <v/>
      </c>
      <c r="F144" s="19">
        <f>IF(OR(B144="",C144=""),"",IFERROR(VLOOKUP(B144,INVENTORY!A:C,3,FALSE),"")*C144)</f>
        <v/>
      </c>
      <c r="G144" s="19">
        <f>IF(OR(B144="",C144=""),"",E144-F144)</f>
        <v/>
      </c>
    </row>
    <row r="145">
      <c r="A145" s="20" t="n"/>
      <c r="B145" s="18" t="n"/>
      <c r="C145" s="18" t="n"/>
      <c r="D145" s="19">
        <f>IF(OR(B145="",C145=""),"",IFERROR(VLOOKUP(B145,INVENTORY!A:D,4,FALSE),""))</f>
        <v/>
      </c>
      <c r="E145" s="19">
        <f>IF(OR(B145="",C145=""),"",D145*C145)</f>
        <v/>
      </c>
      <c r="F145" s="19">
        <f>IF(OR(B145="",C145=""),"",IFERROR(VLOOKUP(B145,INVENTORY!A:C,3,FALSE),"")*C145)</f>
        <v/>
      </c>
      <c r="G145" s="19">
        <f>IF(OR(B145="",C145=""),"",E145-F145)</f>
        <v/>
      </c>
    </row>
    <row r="146">
      <c r="A146" s="20" t="n"/>
      <c r="B146" s="18" t="n"/>
      <c r="C146" s="18" t="n"/>
      <c r="D146" s="19">
        <f>IF(OR(B146="",C146=""),"",IFERROR(VLOOKUP(B146,INVENTORY!A:D,4,FALSE),""))</f>
        <v/>
      </c>
      <c r="E146" s="19">
        <f>IF(OR(B146="",C146=""),"",D146*C146)</f>
        <v/>
      </c>
      <c r="F146" s="19">
        <f>IF(OR(B146="",C146=""),"",IFERROR(VLOOKUP(B146,INVENTORY!A:C,3,FALSE),"")*C146)</f>
        <v/>
      </c>
      <c r="G146" s="19">
        <f>IF(OR(B146="",C146=""),"",E146-F146)</f>
        <v/>
      </c>
    </row>
    <row r="147">
      <c r="A147" s="20" t="n"/>
      <c r="B147" s="18" t="n"/>
      <c r="C147" s="18" t="n"/>
      <c r="D147" s="19">
        <f>IF(OR(B147="",C147=""),"",IFERROR(VLOOKUP(B147,INVENTORY!A:D,4,FALSE),""))</f>
        <v/>
      </c>
      <c r="E147" s="19">
        <f>IF(OR(B147="",C147=""),"",D147*C147)</f>
        <v/>
      </c>
      <c r="F147" s="19">
        <f>IF(OR(B147="",C147=""),"",IFERROR(VLOOKUP(B147,INVENTORY!A:C,3,FALSE),"")*C147)</f>
        <v/>
      </c>
      <c r="G147" s="19">
        <f>IF(OR(B147="",C147=""),"",E147-F147)</f>
        <v/>
      </c>
    </row>
    <row r="148">
      <c r="A148" s="20" t="n"/>
      <c r="B148" s="18" t="n"/>
      <c r="C148" s="18" t="n"/>
      <c r="D148" s="19">
        <f>IF(OR(B148="",C148=""),"",IFERROR(VLOOKUP(B148,INVENTORY!A:D,4,FALSE),""))</f>
        <v/>
      </c>
      <c r="E148" s="19">
        <f>IF(OR(B148="",C148=""),"",D148*C148)</f>
        <v/>
      </c>
      <c r="F148" s="19">
        <f>IF(OR(B148="",C148=""),"",IFERROR(VLOOKUP(B148,INVENTORY!A:C,3,FALSE),"")*C148)</f>
        <v/>
      </c>
      <c r="G148" s="19">
        <f>IF(OR(B148="",C148=""),"",E148-F148)</f>
        <v/>
      </c>
    </row>
    <row r="149">
      <c r="A149" s="20" t="n"/>
      <c r="B149" s="18" t="n"/>
      <c r="C149" s="18" t="n"/>
      <c r="D149" s="19">
        <f>IF(OR(B149="",C149=""),"",IFERROR(VLOOKUP(B149,INVENTORY!A:D,4,FALSE),""))</f>
        <v/>
      </c>
      <c r="E149" s="19">
        <f>IF(OR(B149="",C149=""),"",D149*C149)</f>
        <v/>
      </c>
      <c r="F149" s="19">
        <f>IF(OR(B149="",C149=""),"",IFERROR(VLOOKUP(B149,INVENTORY!A:C,3,FALSE),"")*C149)</f>
        <v/>
      </c>
      <c r="G149" s="19">
        <f>IF(OR(B149="",C149=""),"",E149-F149)</f>
        <v/>
      </c>
    </row>
    <row r="150">
      <c r="A150" s="20" t="n"/>
      <c r="B150" s="18" t="n"/>
      <c r="C150" s="18" t="n"/>
      <c r="D150" s="19">
        <f>IF(OR(B150="",C150=""),"",IFERROR(VLOOKUP(B150,INVENTORY!A:D,4,FALSE),""))</f>
        <v/>
      </c>
      <c r="E150" s="19">
        <f>IF(OR(B150="",C150=""),"",D150*C150)</f>
        <v/>
      </c>
      <c r="F150" s="19">
        <f>IF(OR(B150="",C150=""),"",IFERROR(VLOOKUP(B150,INVENTORY!A:C,3,FALSE),"")*C150)</f>
        <v/>
      </c>
      <c r="G150" s="19">
        <f>IF(OR(B150="",C150=""),"",E150-F150)</f>
        <v/>
      </c>
    </row>
    <row r="151">
      <c r="A151" s="20" t="n"/>
      <c r="B151" s="18" t="n"/>
      <c r="C151" s="18" t="n"/>
      <c r="D151" s="19">
        <f>IF(OR(B151="",C151=""),"",IFERROR(VLOOKUP(B151,INVENTORY!A:D,4,FALSE),""))</f>
        <v/>
      </c>
      <c r="E151" s="19">
        <f>IF(OR(B151="",C151=""),"",D151*C151)</f>
        <v/>
      </c>
      <c r="F151" s="19">
        <f>IF(OR(B151="",C151=""),"",IFERROR(VLOOKUP(B151,INVENTORY!A:C,3,FALSE),"")*C151)</f>
        <v/>
      </c>
      <c r="G151" s="19">
        <f>IF(OR(B151="",C151=""),"",E151-F151)</f>
        <v/>
      </c>
    </row>
    <row r="152">
      <c r="A152" s="20" t="n"/>
      <c r="B152" s="18" t="n"/>
      <c r="C152" s="18" t="n"/>
      <c r="D152" s="19">
        <f>IF(OR(B152="",C152=""),"",IFERROR(VLOOKUP(B152,INVENTORY!A:D,4,FALSE),""))</f>
        <v/>
      </c>
      <c r="E152" s="19">
        <f>IF(OR(B152="",C152=""),"",D152*C152)</f>
        <v/>
      </c>
      <c r="F152" s="19">
        <f>IF(OR(B152="",C152=""),"",IFERROR(VLOOKUP(B152,INVENTORY!A:C,3,FALSE),"")*C152)</f>
        <v/>
      </c>
      <c r="G152" s="19">
        <f>IF(OR(B152="",C152=""),"",E152-F152)</f>
        <v/>
      </c>
    </row>
    <row r="153">
      <c r="A153" s="20" t="n"/>
      <c r="B153" s="18" t="n"/>
      <c r="C153" s="18" t="n"/>
      <c r="D153" s="19">
        <f>IF(OR(B153="",C153=""),"",IFERROR(VLOOKUP(B153,INVENTORY!A:D,4,FALSE),""))</f>
        <v/>
      </c>
      <c r="E153" s="19">
        <f>IF(OR(B153="",C153=""),"",D153*C153)</f>
        <v/>
      </c>
      <c r="F153" s="19">
        <f>IF(OR(B153="",C153=""),"",IFERROR(VLOOKUP(B153,INVENTORY!A:C,3,FALSE),"")*C153)</f>
        <v/>
      </c>
      <c r="G153" s="19">
        <f>IF(OR(B153="",C153=""),"",E153-F153)</f>
        <v/>
      </c>
    </row>
    <row r="154">
      <c r="A154" s="20" t="n"/>
      <c r="B154" s="18" t="n"/>
      <c r="C154" s="18" t="n"/>
      <c r="D154" s="19">
        <f>IF(OR(B154="",C154=""),"",IFERROR(VLOOKUP(B154,INVENTORY!A:D,4,FALSE),""))</f>
        <v/>
      </c>
      <c r="E154" s="19">
        <f>IF(OR(B154="",C154=""),"",D154*C154)</f>
        <v/>
      </c>
      <c r="F154" s="19">
        <f>IF(OR(B154="",C154=""),"",IFERROR(VLOOKUP(B154,INVENTORY!A:C,3,FALSE),"")*C154)</f>
        <v/>
      </c>
      <c r="G154" s="19">
        <f>IF(OR(B154="",C154=""),"",E154-F154)</f>
        <v/>
      </c>
    </row>
    <row r="155">
      <c r="A155" s="20" t="n"/>
      <c r="B155" s="18" t="n"/>
      <c r="C155" s="18" t="n"/>
      <c r="D155" s="19">
        <f>IF(OR(B155="",C155=""),"",IFERROR(VLOOKUP(B155,INVENTORY!A:D,4,FALSE),""))</f>
        <v/>
      </c>
      <c r="E155" s="19">
        <f>IF(OR(B155="",C155=""),"",D155*C155)</f>
        <v/>
      </c>
      <c r="F155" s="19">
        <f>IF(OR(B155="",C155=""),"",IFERROR(VLOOKUP(B155,INVENTORY!A:C,3,FALSE),"")*C155)</f>
        <v/>
      </c>
      <c r="G155" s="19">
        <f>IF(OR(B155="",C155=""),"",E155-F155)</f>
        <v/>
      </c>
    </row>
    <row r="156">
      <c r="A156" s="20" t="n"/>
      <c r="B156" s="18" t="n"/>
      <c r="C156" s="18" t="n"/>
      <c r="D156" s="19">
        <f>IF(OR(B156="",C156=""),"",IFERROR(VLOOKUP(B156,INVENTORY!A:D,4,FALSE),""))</f>
        <v/>
      </c>
      <c r="E156" s="19">
        <f>IF(OR(B156="",C156=""),"",D156*C156)</f>
        <v/>
      </c>
      <c r="F156" s="19">
        <f>IF(OR(B156="",C156=""),"",IFERROR(VLOOKUP(B156,INVENTORY!A:C,3,FALSE),"")*C156)</f>
        <v/>
      </c>
      <c r="G156" s="19">
        <f>IF(OR(B156="",C156=""),"",E156-F156)</f>
        <v/>
      </c>
    </row>
    <row r="157">
      <c r="A157" s="20" t="n"/>
      <c r="B157" s="18" t="n"/>
      <c r="C157" s="18" t="n"/>
      <c r="D157" s="19">
        <f>IF(OR(B157="",C157=""),"",IFERROR(VLOOKUP(B157,INVENTORY!A:D,4,FALSE),""))</f>
        <v/>
      </c>
      <c r="E157" s="19">
        <f>IF(OR(B157="",C157=""),"",D157*C157)</f>
        <v/>
      </c>
      <c r="F157" s="19">
        <f>IF(OR(B157="",C157=""),"",IFERROR(VLOOKUP(B157,INVENTORY!A:C,3,FALSE),"")*C157)</f>
        <v/>
      </c>
      <c r="G157" s="19">
        <f>IF(OR(B157="",C157=""),"",E157-F157)</f>
        <v/>
      </c>
    </row>
    <row r="158">
      <c r="A158" s="20" t="n"/>
      <c r="B158" s="18" t="n"/>
      <c r="C158" s="18" t="n"/>
      <c r="D158" s="19">
        <f>IF(OR(B158="",C158=""),"",IFERROR(VLOOKUP(B158,INVENTORY!A:D,4,FALSE),""))</f>
        <v/>
      </c>
      <c r="E158" s="19">
        <f>IF(OR(B158="",C158=""),"",D158*C158)</f>
        <v/>
      </c>
      <c r="F158" s="19">
        <f>IF(OR(B158="",C158=""),"",IFERROR(VLOOKUP(B158,INVENTORY!A:C,3,FALSE),"")*C158)</f>
        <v/>
      </c>
      <c r="G158" s="19">
        <f>IF(OR(B158="",C158=""),"",E158-F158)</f>
        <v/>
      </c>
    </row>
    <row r="159">
      <c r="A159" s="20" t="n"/>
      <c r="B159" s="18" t="n"/>
      <c r="C159" s="18" t="n"/>
      <c r="D159" s="19">
        <f>IF(OR(B159="",C159=""),"",IFERROR(VLOOKUP(B159,INVENTORY!A:D,4,FALSE),""))</f>
        <v/>
      </c>
      <c r="E159" s="19">
        <f>IF(OR(B159="",C159=""),"",D159*C159)</f>
        <v/>
      </c>
      <c r="F159" s="19">
        <f>IF(OR(B159="",C159=""),"",IFERROR(VLOOKUP(B159,INVENTORY!A:C,3,FALSE),"")*C159)</f>
        <v/>
      </c>
      <c r="G159" s="19">
        <f>IF(OR(B159="",C159=""),"",E159-F159)</f>
        <v/>
      </c>
    </row>
    <row r="160">
      <c r="A160" s="20" t="n"/>
      <c r="B160" s="18" t="n"/>
      <c r="C160" s="18" t="n"/>
      <c r="D160" s="19">
        <f>IF(OR(B160="",C160=""),"",IFERROR(VLOOKUP(B160,INVENTORY!A:D,4,FALSE),""))</f>
        <v/>
      </c>
      <c r="E160" s="19">
        <f>IF(OR(B160="",C160=""),"",D160*C160)</f>
        <v/>
      </c>
      <c r="F160" s="19">
        <f>IF(OR(B160="",C160=""),"",IFERROR(VLOOKUP(B160,INVENTORY!A:C,3,FALSE),"")*C160)</f>
        <v/>
      </c>
      <c r="G160" s="19">
        <f>IF(OR(B160="",C160=""),"",E160-F160)</f>
        <v/>
      </c>
    </row>
    <row r="161">
      <c r="A161" s="20" t="n"/>
      <c r="B161" s="18" t="n"/>
      <c r="C161" s="18" t="n"/>
      <c r="D161" s="19">
        <f>IF(OR(B161="",C161=""),"",IFERROR(VLOOKUP(B161,INVENTORY!A:D,4,FALSE),""))</f>
        <v/>
      </c>
      <c r="E161" s="19">
        <f>IF(OR(B161="",C161=""),"",D161*C161)</f>
        <v/>
      </c>
      <c r="F161" s="19">
        <f>IF(OR(B161="",C161=""),"",IFERROR(VLOOKUP(B161,INVENTORY!A:C,3,FALSE),"")*C161)</f>
        <v/>
      </c>
      <c r="G161" s="19">
        <f>IF(OR(B161="",C161=""),"",E161-F161)</f>
        <v/>
      </c>
    </row>
    <row r="162">
      <c r="A162" s="20" t="n"/>
      <c r="B162" s="18" t="n"/>
      <c r="C162" s="18" t="n"/>
      <c r="D162" s="19">
        <f>IF(OR(B162="",C162=""),"",IFERROR(VLOOKUP(B162,INVENTORY!A:D,4,FALSE),""))</f>
        <v/>
      </c>
      <c r="E162" s="19">
        <f>IF(OR(B162="",C162=""),"",D162*C162)</f>
        <v/>
      </c>
      <c r="F162" s="19">
        <f>IF(OR(B162="",C162=""),"",IFERROR(VLOOKUP(B162,INVENTORY!A:C,3,FALSE),"")*C162)</f>
        <v/>
      </c>
      <c r="G162" s="19">
        <f>IF(OR(B162="",C162=""),"",E162-F162)</f>
        <v/>
      </c>
    </row>
    <row r="163">
      <c r="A163" s="20" t="n"/>
      <c r="B163" s="18" t="n"/>
      <c r="C163" s="18" t="n"/>
      <c r="D163" s="19">
        <f>IF(OR(B163="",C163=""),"",IFERROR(VLOOKUP(B163,INVENTORY!A:D,4,FALSE),""))</f>
        <v/>
      </c>
      <c r="E163" s="19">
        <f>IF(OR(B163="",C163=""),"",D163*C163)</f>
        <v/>
      </c>
      <c r="F163" s="19">
        <f>IF(OR(B163="",C163=""),"",IFERROR(VLOOKUP(B163,INVENTORY!A:C,3,FALSE),"")*C163)</f>
        <v/>
      </c>
      <c r="G163" s="19">
        <f>IF(OR(B163="",C163=""),"",E163-F163)</f>
        <v/>
      </c>
    </row>
    <row r="164">
      <c r="A164" s="20" t="n"/>
      <c r="B164" s="18" t="n"/>
      <c r="C164" s="18" t="n"/>
      <c r="D164" s="19">
        <f>IF(OR(B164="",C164=""),"",IFERROR(VLOOKUP(B164,INVENTORY!A:D,4,FALSE),""))</f>
        <v/>
      </c>
      <c r="E164" s="19">
        <f>IF(OR(B164="",C164=""),"",D164*C164)</f>
        <v/>
      </c>
      <c r="F164" s="19">
        <f>IF(OR(B164="",C164=""),"",IFERROR(VLOOKUP(B164,INVENTORY!A:C,3,FALSE),"")*C164)</f>
        <v/>
      </c>
      <c r="G164" s="19">
        <f>IF(OR(B164="",C164=""),"",E164-F164)</f>
        <v/>
      </c>
    </row>
    <row r="165">
      <c r="A165" s="20" t="n"/>
      <c r="B165" s="18" t="n"/>
      <c r="C165" s="18" t="n"/>
      <c r="D165" s="19">
        <f>IF(OR(B165="",C165=""),"",IFERROR(VLOOKUP(B165,INVENTORY!A:D,4,FALSE),""))</f>
        <v/>
      </c>
      <c r="E165" s="19">
        <f>IF(OR(B165="",C165=""),"",D165*C165)</f>
        <v/>
      </c>
      <c r="F165" s="19">
        <f>IF(OR(B165="",C165=""),"",IFERROR(VLOOKUP(B165,INVENTORY!A:C,3,FALSE),"")*C165)</f>
        <v/>
      </c>
      <c r="G165" s="19">
        <f>IF(OR(B165="",C165=""),"",E165-F165)</f>
        <v/>
      </c>
    </row>
    <row r="166">
      <c r="A166" s="20" t="n"/>
      <c r="B166" s="18" t="n"/>
      <c r="C166" s="18" t="n"/>
      <c r="D166" s="19">
        <f>IF(OR(B166="",C166=""),"",IFERROR(VLOOKUP(B166,INVENTORY!A:D,4,FALSE),""))</f>
        <v/>
      </c>
      <c r="E166" s="19">
        <f>IF(OR(B166="",C166=""),"",D166*C166)</f>
        <v/>
      </c>
      <c r="F166" s="19">
        <f>IF(OR(B166="",C166=""),"",IFERROR(VLOOKUP(B166,INVENTORY!A:C,3,FALSE),"")*C166)</f>
        <v/>
      </c>
      <c r="G166" s="19">
        <f>IF(OR(B166="",C166=""),"",E166-F166)</f>
        <v/>
      </c>
    </row>
    <row r="167">
      <c r="A167" s="20" t="n"/>
      <c r="B167" s="18" t="n"/>
      <c r="C167" s="18" t="n"/>
      <c r="D167" s="19">
        <f>IF(OR(B167="",C167=""),"",IFERROR(VLOOKUP(B167,INVENTORY!A:D,4,FALSE),""))</f>
        <v/>
      </c>
      <c r="E167" s="19">
        <f>IF(OR(B167="",C167=""),"",D167*C167)</f>
        <v/>
      </c>
      <c r="F167" s="19">
        <f>IF(OR(B167="",C167=""),"",IFERROR(VLOOKUP(B167,INVENTORY!A:C,3,FALSE),"")*C167)</f>
        <v/>
      </c>
      <c r="G167" s="19">
        <f>IF(OR(B167="",C167=""),"",E167-F167)</f>
        <v/>
      </c>
    </row>
    <row r="168">
      <c r="A168" s="20" t="n"/>
      <c r="B168" s="18" t="n"/>
      <c r="C168" s="18" t="n"/>
      <c r="D168" s="19">
        <f>IF(OR(B168="",C168=""),"",IFERROR(VLOOKUP(B168,INVENTORY!A:D,4,FALSE),""))</f>
        <v/>
      </c>
      <c r="E168" s="19">
        <f>IF(OR(B168="",C168=""),"",D168*C168)</f>
        <v/>
      </c>
      <c r="F168" s="19">
        <f>IF(OR(B168="",C168=""),"",IFERROR(VLOOKUP(B168,INVENTORY!A:C,3,FALSE),"")*C168)</f>
        <v/>
      </c>
      <c r="G168" s="19">
        <f>IF(OR(B168="",C168=""),"",E168-F168)</f>
        <v/>
      </c>
    </row>
    <row r="169">
      <c r="A169" s="20" t="n"/>
      <c r="B169" s="18" t="n"/>
      <c r="C169" s="18" t="n"/>
      <c r="D169" s="19">
        <f>IF(OR(B169="",C169=""),"",IFERROR(VLOOKUP(B169,INVENTORY!A:D,4,FALSE),""))</f>
        <v/>
      </c>
      <c r="E169" s="19">
        <f>IF(OR(B169="",C169=""),"",D169*C169)</f>
        <v/>
      </c>
      <c r="F169" s="19">
        <f>IF(OR(B169="",C169=""),"",IFERROR(VLOOKUP(B169,INVENTORY!A:C,3,FALSE),"")*C169)</f>
        <v/>
      </c>
      <c r="G169" s="19">
        <f>IF(OR(B169="",C169=""),"",E169-F169)</f>
        <v/>
      </c>
    </row>
    <row r="170">
      <c r="A170" s="20" t="n"/>
      <c r="B170" s="18" t="n"/>
      <c r="C170" s="18" t="n"/>
      <c r="D170" s="19">
        <f>IF(OR(B170="",C170=""),"",IFERROR(VLOOKUP(B170,INVENTORY!A:D,4,FALSE),""))</f>
        <v/>
      </c>
      <c r="E170" s="19">
        <f>IF(OR(B170="",C170=""),"",D170*C170)</f>
        <v/>
      </c>
      <c r="F170" s="19">
        <f>IF(OR(B170="",C170=""),"",IFERROR(VLOOKUP(B170,INVENTORY!A:C,3,FALSE),"")*C170)</f>
        <v/>
      </c>
      <c r="G170" s="19">
        <f>IF(OR(B170="",C170=""),"",E170-F170)</f>
        <v/>
      </c>
    </row>
    <row r="171">
      <c r="A171" s="20" t="n"/>
      <c r="B171" s="18" t="n"/>
      <c r="C171" s="18" t="n"/>
      <c r="D171" s="19">
        <f>IF(OR(B171="",C171=""),"",IFERROR(VLOOKUP(B171,INVENTORY!A:D,4,FALSE),""))</f>
        <v/>
      </c>
      <c r="E171" s="19">
        <f>IF(OR(B171="",C171=""),"",D171*C171)</f>
        <v/>
      </c>
      <c r="F171" s="19">
        <f>IF(OR(B171="",C171=""),"",IFERROR(VLOOKUP(B171,INVENTORY!A:C,3,FALSE),"")*C171)</f>
        <v/>
      </c>
      <c r="G171" s="19">
        <f>IF(OR(B171="",C171=""),"",E171-F171)</f>
        <v/>
      </c>
    </row>
    <row r="172">
      <c r="A172" s="20" t="n"/>
      <c r="B172" s="18" t="n"/>
      <c r="C172" s="18" t="n"/>
      <c r="D172" s="19">
        <f>IF(OR(B172="",C172=""),"",IFERROR(VLOOKUP(B172,INVENTORY!A:D,4,FALSE),""))</f>
        <v/>
      </c>
      <c r="E172" s="19">
        <f>IF(OR(B172="",C172=""),"",D172*C172)</f>
        <v/>
      </c>
      <c r="F172" s="19">
        <f>IF(OR(B172="",C172=""),"",IFERROR(VLOOKUP(B172,INVENTORY!A:C,3,FALSE),"")*C172)</f>
        <v/>
      </c>
      <c r="G172" s="19">
        <f>IF(OR(B172="",C172=""),"",E172-F172)</f>
        <v/>
      </c>
    </row>
    <row r="173">
      <c r="A173" s="20" t="n"/>
      <c r="B173" s="18" t="n"/>
      <c r="C173" s="18" t="n"/>
      <c r="D173" s="19">
        <f>IF(OR(B173="",C173=""),"",IFERROR(VLOOKUP(B173,INVENTORY!A:D,4,FALSE),""))</f>
        <v/>
      </c>
      <c r="E173" s="19">
        <f>IF(OR(B173="",C173=""),"",D173*C173)</f>
        <v/>
      </c>
      <c r="F173" s="19">
        <f>IF(OR(B173="",C173=""),"",IFERROR(VLOOKUP(B173,INVENTORY!A:C,3,FALSE),"")*C173)</f>
        <v/>
      </c>
      <c r="G173" s="19">
        <f>IF(OR(B173="",C173=""),"",E173-F173)</f>
        <v/>
      </c>
    </row>
    <row r="174">
      <c r="A174" s="20" t="n"/>
      <c r="B174" s="18" t="n"/>
      <c r="C174" s="18" t="n"/>
      <c r="D174" s="19">
        <f>IF(OR(B174="",C174=""),"",IFERROR(VLOOKUP(B174,INVENTORY!A:D,4,FALSE),""))</f>
        <v/>
      </c>
      <c r="E174" s="19">
        <f>IF(OR(B174="",C174=""),"",D174*C174)</f>
        <v/>
      </c>
      <c r="F174" s="19">
        <f>IF(OR(B174="",C174=""),"",IFERROR(VLOOKUP(B174,INVENTORY!A:C,3,FALSE),"")*C174)</f>
        <v/>
      </c>
      <c r="G174" s="19">
        <f>IF(OR(B174="",C174=""),"",E174-F174)</f>
        <v/>
      </c>
    </row>
    <row r="175">
      <c r="A175" s="20" t="n"/>
      <c r="B175" s="18" t="n"/>
      <c r="C175" s="18" t="n"/>
      <c r="D175" s="19">
        <f>IF(OR(B175="",C175=""),"",IFERROR(VLOOKUP(B175,INVENTORY!A:D,4,FALSE),""))</f>
        <v/>
      </c>
      <c r="E175" s="19">
        <f>IF(OR(B175="",C175=""),"",D175*C175)</f>
        <v/>
      </c>
      <c r="F175" s="19">
        <f>IF(OR(B175="",C175=""),"",IFERROR(VLOOKUP(B175,INVENTORY!A:C,3,FALSE),"")*C175)</f>
        <v/>
      </c>
      <c r="G175" s="19">
        <f>IF(OR(B175="",C175=""),"",E175-F175)</f>
        <v/>
      </c>
    </row>
    <row r="176">
      <c r="A176" s="20" t="n"/>
      <c r="B176" s="18" t="n"/>
      <c r="C176" s="18" t="n"/>
      <c r="D176" s="19">
        <f>IF(OR(B176="",C176=""),"",IFERROR(VLOOKUP(B176,INVENTORY!A:D,4,FALSE),""))</f>
        <v/>
      </c>
      <c r="E176" s="19">
        <f>IF(OR(B176="",C176=""),"",D176*C176)</f>
        <v/>
      </c>
      <c r="F176" s="19">
        <f>IF(OR(B176="",C176=""),"",IFERROR(VLOOKUP(B176,INVENTORY!A:C,3,FALSE),"")*C176)</f>
        <v/>
      </c>
      <c r="G176" s="19">
        <f>IF(OR(B176="",C176=""),"",E176-F176)</f>
        <v/>
      </c>
    </row>
    <row r="177">
      <c r="A177" s="20" t="n"/>
      <c r="B177" s="18" t="n"/>
      <c r="C177" s="18" t="n"/>
      <c r="D177" s="19">
        <f>IF(OR(B177="",C177=""),"",IFERROR(VLOOKUP(B177,INVENTORY!A:D,4,FALSE),""))</f>
        <v/>
      </c>
      <c r="E177" s="19">
        <f>IF(OR(B177="",C177=""),"",D177*C177)</f>
        <v/>
      </c>
      <c r="F177" s="19">
        <f>IF(OR(B177="",C177=""),"",IFERROR(VLOOKUP(B177,INVENTORY!A:C,3,FALSE),"")*C177)</f>
        <v/>
      </c>
      <c r="G177" s="19">
        <f>IF(OR(B177="",C177=""),"",E177-F177)</f>
        <v/>
      </c>
    </row>
    <row r="178">
      <c r="A178" s="20" t="n"/>
      <c r="B178" s="18" t="n"/>
      <c r="C178" s="18" t="n"/>
      <c r="D178" s="19">
        <f>IF(OR(B178="",C178=""),"",IFERROR(VLOOKUP(B178,INVENTORY!A:D,4,FALSE),""))</f>
        <v/>
      </c>
      <c r="E178" s="19">
        <f>IF(OR(B178="",C178=""),"",D178*C178)</f>
        <v/>
      </c>
      <c r="F178" s="19">
        <f>IF(OR(B178="",C178=""),"",IFERROR(VLOOKUP(B178,INVENTORY!A:C,3,FALSE),"")*C178)</f>
        <v/>
      </c>
      <c r="G178" s="19">
        <f>IF(OR(B178="",C178=""),"",E178-F178)</f>
        <v/>
      </c>
    </row>
    <row r="179">
      <c r="A179" s="20" t="n"/>
      <c r="B179" s="18" t="n"/>
      <c r="C179" s="18" t="n"/>
      <c r="D179" s="19">
        <f>IF(OR(B179="",C179=""),"",IFERROR(VLOOKUP(B179,INVENTORY!A:D,4,FALSE),""))</f>
        <v/>
      </c>
      <c r="E179" s="19">
        <f>IF(OR(B179="",C179=""),"",D179*C179)</f>
        <v/>
      </c>
      <c r="F179" s="19">
        <f>IF(OR(B179="",C179=""),"",IFERROR(VLOOKUP(B179,INVENTORY!A:C,3,FALSE),"")*C179)</f>
        <v/>
      </c>
      <c r="G179" s="19">
        <f>IF(OR(B179="",C179=""),"",E179-F179)</f>
        <v/>
      </c>
    </row>
    <row r="180">
      <c r="A180" s="20" t="n"/>
      <c r="B180" s="18" t="n"/>
      <c r="C180" s="18" t="n"/>
      <c r="D180" s="19">
        <f>IF(OR(B180="",C180=""),"",IFERROR(VLOOKUP(B180,INVENTORY!A:D,4,FALSE),""))</f>
        <v/>
      </c>
      <c r="E180" s="19">
        <f>IF(OR(B180="",C180=""),"",D180*C180)</f>
        <v/>
      </c>
      <c r="F180" s="19">
        <f>IF(OR(B180="",C180=""),"",IFERROR(VLOOKUP(B180,INVENTORY!A:C,3,FALSE),"")*C180)</f>
        <v/>
      </c>
      <c r="G180" s="19">
        <f>IF(OR(B180="",C180=""),"",E180-F180)</f>
        <v/>
      </c>
    </row>
    <row r="181">
      <c r="A181" s="20" t="n"/>
      <c r="B181" s="18" t="n"/>
      <c r="C181" s="18" t="n"/>
      <c r="D181" s="19">
        <f>IF(OR(B181="",C181=""),"",IFERROR(VLOOKUP(B181,INVENTORY!A:D,4,FALSE),""))</f>
        <v/>
      </c>
      <c r="E181" s="19">
        <f>IF(OR(B181="",C181=""),"",D181*C181)</f>
        <v/>
      </c>
      <c r="F181" s="19">
        <f>IF(OR(B181="",C181=""),"",IFERROR(VLOOKUP(B181,INVENTORY!A:C,3,FALSE),"")*C181)</f>
        <v/>
      </c>
      <c r="G181" s="19">
        <f>IF(OR(B181="",C181=""),"",E181-F181)</f>
        <v/>
      </c>
    </row>
    <row r="182">
      <c r="A182" s="20" t="n"/>
      <c r="B182" s="18" t="n"/>
      <c r="C182" s="18" t="n"/>
      <c r="D182" s="19">
        <f>IF(OR(B182="",C182=""),"",IFERROR(VLOOKUP(B182,INVENTORY!A:D,4,FALSE),""))</f>
        <v/>
      </c>
      <c r="E182" s="19">
        <f>IF(OR(B182="",C182=""),"",D182*C182)</f>
        <v/>
      </c>
      <c r="F182" s="19">
        <f>IF(OR(B182="",C182=""),"",IFERROR(VLOOKUP(B182,INVENTORY!A:C,3,FALSE),"")*C182)</f>
        <v/>
      </c>
      <c r="G182" s="19">
        <f>IF(OR(B182="",C182=""),"",E182-F182)</f>
        <v/>
      </c>
    </row>
    <row r="183">
      <c r="A183" s="20" t="n"/>
      <c r="B183" s="18" t="n"/>
      <c r="C183" s="18" t="n"/>
      <c r="D183" s="19">
        <f>IF(OR(B183="",C183=""),"",IFERROR(VLOOKUP(B183,INVENTORY!A:D,4,FALSE),""))</f>
        <v/>
      </c>
      <c r="E183" s="19">
        <f>IF(OR(B183="",C183=""),"",D183*C183)</f>
        <v/>
      </c>
      <c r="F183" s="19">
        <f>IF(OR(B183="",C183=""),"",IFERROR(VLOOKUP(B183,INVENTORY!A:C,3,FALSE),"")*C183)</f>
        <v/>
      </c>
      <c r="G183" s="19">
        <f>IF(OR(B183="",C183=""),"",E183-F183)</f>
        <v/>
      </c>
    </row>
    <row r="184">
      <c r="A184" s="20" t="n"/>
      <c r="B184" s="18" t="n"/>
      <c r="C184" s="18" t="n"/>
      <c r="D184" s="19">
        <f>IF(OR(B184="",C184=""),"",IFERROR(VLOOKUP(B184,INVENTORY!A:D,4,FALSE),""))</f>
        <v/>
      </c>
      <c r="E184" s="19">
        <f>IF(OR(B184="",C184=""),"",D184*C184)</f>
        <v/>
      </c>
      <c r="F184" s="19">
        <f>IF(OR(B184="",C184=""),"",IFERROR(VLOOKUP(B184,INVENTORY!A:C,3,FALSE),"")*C184)</f>
        <v/>
      </c>
      <c r="G184" s="19">
        <f>IF(OR(B184="",C184=""),"",E184-F184)</f>
        <v/>
      </c>
    </row>
    <row r="185">
      <c r="A185" s="20" t="n"/>
      <c r="B185" s="18" t="n"/>
      <c r="C185" s="18" t="n"/>
      <c r="D185" s="19">
        <f>IF(OR(B185="",C185=""),"",IFERROR(VLOOKUP(B185,INVENTORY!A:D,4,FALSE),""))</f>
        <v/>
      </c>
      <c r="E185" s="19">
        <f>IF(OR(B185="",C185=""),"",D185*C185)</f>
        <v/>
      </c>
      <c r="F185" s="19">
        <f>IF(OR(B185="",C185=""),"",IFERROR(VLOOKUP(B185,INVENTORY!A:C,3,FALSE),"")*C185)</f>
        <v/>
      </c>
      <c r="G185" s="19">
        <f>IF(OR(B185="",C185=""),"",E185-F185)</f>
        <v/>
      </c>
    </row>
    <row r="186">
      <c r="A186" s="20" t="n"/>
      <c r="B186" s="18" t="n"/>
      <c r="C186" s="18" t="n"/>
      <c r="D186" s="19">
        <f>IF(OR(B186="",C186=""),"",IFERROR(VLOOKUP(B186,INVENTORY!A:D,4,FALSE),""))</f>
        <v/>
      </c>
      <c r="E186" s="19">
        <f>IF(OR(B186="",C186=""),"",D186*C186)</f>
        <v/>
      </c>
      <c r="F186" s="19">
        <f>IF(OR(B186="",C186=""),"",IFERROR(VLOOKUP(B186,INVENTORY!A:C,3,FALSE),"")*C186)</f>
        <v/>
      </c>
      <c r="G186" s="19">
        <f>IF(OR(B186="",C186=""),"",E186-F186)</f>
        <v/>
      </c>
    </row>
    <row r="187">
      <c r="A187" s="20" t="n"/>
      <c r="B187" s="18" t="n"/>
      <c r="C187" s="18" t="n"/>
      <c r="D187" s="19">
        <f>IF(OR(B187="",C187=""),"",IFERROR(VLOOKUP(B187,INVENTORY!A:D,4,FALSE),""))</f>
        <v/>
      </c>
      <c r="E187" s="19">
        <f>IF(OR(B187="",C187=""),"",D187*C187)</f>
        <v/>
      </c>
      <c r="F187" s="19">
        <f>IF(OR(B187="",C187=""),"",IFERROR(VLOOKUP(B187,INVENTORY!A:C,3,FALSE),"")*C187)</f>
        <v/>
      </c>
      <c r="G187" s="19">
        <f>IF(OR(B187="",C187=""),"",E187-F187)</f>
        <v/>
      </c>
    </row>
    <row r="188">
      <c r="A188" s="20" t="n"/>
      <c r="B188" s="18" t="n"/>
      <c r="C188" s="18" t="n"/>
      <c r="D188" s="19">
        <f>IF(OR(B188="",C188=""),"",IFERROR(VLOOKUP(B188,INVENTORY!A:D,4,FALSE),""))</f>
        <v/>
      </c>
      <c r="E188" s="19">
        <f>IF(OR(B188="",C188=""),"",D188*C188)</f>
        <v/>
      </c>
      <c r="F188" s="19">
        <f>IF(OR(B188="",C188=""),"",IFERROR(VLOOKUP(B188,INVENTORY!A:C,3,FALSE),"")*C188)</f>
        <v/>
      </c>
      <c r="G188" s="19">
        <f>IF(OR(B188="",C188=""),"",E188-F188)</f>
        <v/>
      </c>
    </row>
    <row r="189">
      <c r="A189" s="20" t="n"/>
      <c r="B189" s="18" t="n"/>
      <c r="C189" s="18" t="n"/>
      <c r="D189" s="19">
        <f>IF(OR(B189="",C189=""),"",IFERROR(VLOOKUP(B189,INVENTORY!A:D,4,FALSE),""))</f>
        <v/>
      </c>
      <c r="E189" s="19">
        <f>IF(OR(B189="",C189=""),"",D189*C189)</f>
        <v/>
      </c>
      <c r="F189" s="19">
        <f>IF(OR(B189="",C189=""),"",IFERROR(VLOOKUP(B189,INVENTORY!A:C,3,FALSE),"")*C189)</f>
        <v/>
      </c>
      <c r="G189" s="19">
        <f>IF(OR(B189="",C189=""),"",E189-F189)</f>
        <v/>
      </c>
    </row>
    <row r="190">
      <c r="A190" s="20" t="n"/>
      <c r="B190" s="18" t="n"/>
      <c r="C190" s="18" t="n"/>
      <c r="D190" s="19">
        <f>IF(OR(B190="",C190=""),"",IFERROR(VLOOKUP(B190,INVENTORY!A:D,4,FALSE),""))</f>
        <v/>
      </c>
      <c r="E190" s="19">
        <f>IF(OR(B190="",C190=""),"",D190*C190)</f>
        <v/>
      </c>
      <c r="F190" s="19">
        <f>IF(OR(B190="",C190=""),"",IFERROR(VLOOKUP(B190,INVENTORY!A:C,3,FALSE),"")*C190)</f>
        <v/>
      </c>
      <c r="G190" s="19">
        <f>IF(OR(B190="",C190=""),"",E190-F190)</f>
        <v/>
      </c>
    </row>
    <row r="191">
      <c r="A191" s="20" t="n"/>
      <c r="B191" s="18" t="n"/>
      <c r="C191" s="18" t="n"/>
      <c r="D191" s="19">
        <f>IF(OR(B191="",C191=""),"",IFERROR(VLOOKUP(B191,INVENTORY!A:D,4,FALSE),""))</f>
        <v/>
      </c>
      <c r="E191" s="19">
        <f>IF(OR(B191="",C191=""),"",D191*C191)</f>
        <v/>
      </c>
      <c r="F191" s="19">
        <f>IF(OR(B191="",C191=""),"",IFERROR(VLOOKUP(B191,INVENTORY!A:C,3,FALSE),"")*C191)</f>
        <v/>
      </c>
      <c r="G191" s="19">
        <f>IF(OR(B191="",C191=""),"",E191-F191)</f>
        <v/>
      </c>
    </row>
    <row r="192">
      <c r="A192" s="20" t="n"/>
      <c r="B192" s="18" t="n"/>
      <c r="C192" s="18" t="n"/>
      <c r="D192" s="19">
        <f>IF(OR(B192="",C192=""),"",IFERROR(VLOOKUP(B192,INVENTORY!A:D,4,FALSE),""))</f>
        <v/>
      </c>
      <c r="E192" s="19">
        <f>IF(OR(B192="",C192=""),"",D192*C192)</f>
        <v/>
      </c>
      <c r="F192" s="19">
        <f>IF(OR(B192="",C192=""),"",IFERROR(VLOOKUP(B192,INVENTORY!A:C,3,FALSE),"")*C192)</f>
        <v/>
      </c>
      <c r="G192" s="19">
        <f>IF(OR(B192="",C192=""),"",E192-F192)</f>
        <v/>
      </c>
    </row>
    <row r="193">
      <c r="A193" s="20" t="n"/>
      <c r="B193" s="18" t="n"/>
      <c r="C193" s="18" t="n"/>
      <c r="D193" s="19">
        <f>IF(OR(B193="",C193=""),"",IFERROR(VLOOKUP(B193,INVENTORY!A:D,4,FALSE),""))</f>
        <v/>
      </c>
      <c r="E193" s="19">
        <f>IF(OR(B193="",C193=""),"",D193*C193)</f>
        <v/>
      </c>
      <c r="F193" s="19">
        <f>IF(OR(B193="",C193=""),"",IFERROR(VLOOKUP(B193,INVENTORY!A:C,3,FALSE),"")*C193)</f>
        <v/>
      </c>
      <c r="G193" s="19">
        <f>IF(OR(B193="",C193=""),"",E193-F193)</f>
        <v/>
      </c>
    </row>
    <row r="194">
      <c r="A194" s="20" t="n"/>
      <c r="B194" s="18" t="n"/>
      <c r="C194" s="18" t="n"/>
      <c r="D194" s="19">
        <f>IF(OR(B194="",C194=""),"",IFERROR(VLOOKUP(B194,INVENTORY!A:D,4,FALSE),""))</f>
        <v/>
      </c>
      <c r="E194" s="19">
        <f>IF(OR(B194="",C194=""),"",D194*C194)</f>
        <v/>
      </c>
      <c r="F194" s="19">
        <f>IF(OR(B194="",C194=""),"",IFERROR(VLOOKUP(B194,INVENTORY!A:C,3,FALSE),"")*C194)</f>
        <v/>
      </c>
      <c r="G194" s="19">
        <f>IF(OR(B194="",C194=""),"",E194-F194)</f>
        <v/>
      </c>
    </row>
    <row r="195">
      <c r="A195" s="20" t="n"/>
      <c r="B195" s="18" t="n"/>
      <c r="C195" s="18" t="n"/>
      <c r="D195" s="19">
        <f>IF(OR(B195="",C195=""),"",IFERROR(VLOOKUP(B195,INVENTORY!A:D,4,FALSE),""))</f>
        <v/>
      </c>
      <c r="E195" s="19">
        <f>IF(OR(B195="",C195=""),"",D195*C195)</f>
        <v/>
      </c>
      <c r="F195" s="19">
        <f>IF(OR(B195="",C195=""),"",IFERROR(VLOOKUP(B195,INVENTORY!A:C,3,FALSE),"")*C195)</f>
        <v/>
      </c>
      <c r="G195" s="19">
        <f>IF(OR(B195="",C195=""),"",E195-F195)</f>
        <v/>
      </c>
    </row>
    <row r="196">
      <c r="A196" s="20" t="n"/>
      <c r="B196" s="18" t="n"/>
      <c r="C196" s="18" t="n"/>
      <c r="D196" s="19">
        <f>IF(OR(B196="",C196=""),"",IFERROR(VLOOKUP(B196,INVENTORY!A:D,4,FALSE),""))</f>
        <v/>
      </c>
      <c r="E196" s="19">
        <f>IF(OR(B196="",C196=""),"",D196*C196)</f>
        <v/>
      </c>
      <c r="F196" s="19">
        <f>IF(OR(B196="",C196=""),"",IFERROR(VLOOKUP(B196,INVENTORY!A:C,3,FALSE),"")*C196)</f>
        <v/>
      </c>
      <c r="G196" s="19">
        <f>IF(OR(B196="",C196=""),"",E196-F196)</f>
        <v/>
      </c>
    </row>
    <row r="197">
      <c r="A197" s="20" t="n"/>
      <c r="B197" s="18" t="n"/>
      <c r="C197" s="18" t="n"/>
      <c r="D197" s="19">
        <f>IF(OR(B197="",C197=""),"",IFERROR(VLOOKUP(B197,INVENTORY!A:D,4,FALSE),""))</f>
        <v/>
      </c>
      <c r="E197" s="19">
        <f>IF(OR(B197="",C197=""),"",D197*C197)</f>
        <v/>
      </c>
      <c r="F197" s="19">
        <f>IF(OR(B197="",C197=""),"",IFERROR(VLOOKUP(B197,INVENTORY!A:C,3,FALSE),"")*C197)</f>
        <v/>
      </c>
      <c r="G197" s="19">
        <f>IF(OR(B197="",C197=""),"",E197-F197)</f>
        <v/>
      </c>
    </row>
    <row r="198">
      <c r="A198" s="20" t="n"/>
      <c r="B198" s="18" t="n"/>
      <c r="C198" s="18" t="n"/>
      <c r="D198" s="19">
        <f>IF(OR(B198="",C198=""),"",IFERROR(VLOOKUP(B198,INVENTORY!A:D,4,FALSE),""))</f>
        <v/>
      </c>
      <c r="E198" s="19">
        <f>IF(OR(B198="",C198=""),"",D198*C198)</f>
        <v/>
      </c>
      <c r="F198" s="19">
        <f>IF(OR(B198="",C198=""),"",IFERROR(VLOOKUP(B198,INVENTORY!A:C,3,FALSE),"")*C198)</f>
        <v/>
      </c>
      <c r="G198" s="19">
        <f>IF(OR(B198="",C198=""),"",E198-F198)</f>
        <v/>
      </c>
    </row>
    <row r="199">
      <c r="A199" s="20" t="n"/>
      <c r="B199" s="18" t="n"/>
      <c r="C199" s="18" t="n"/>
      <c r="D199" s="19">
        <f>IF(OR(B199="",C199=""),"",IFERROR(VLOOKUP(B199,INVENTORY!A:D,4,FALSE),""))</f>
        <v/>
      </c>
      <c r="E199" s="19">
        <f>IF(OR(B199="",C199=""),"",D199*C199)</f>
        <v/>
      </c>
      <c r="F199" s="19">
        <f>IF(OR(B199="",C199=""),"",IFERROR(VLOOKUP(B199,INVENTORY!A:C,3,FALSE),"")*C199)</f>
        <v/>
      </c>
      <c r="G199" s="19">
        <f>IF(OR(B199="",C199=""),"",E199-F199)</f>
        <v/>
      </c>
    </row>
    <row r="200">
      <c r="A200" s="20" t="n"/>
      <c r="B200" s="18" t="n"/>
      <c r="C200" s="18" t="n"/>
      <c r="D200" s="19">
        <f>IF(OR(B200="",C200=""),"",IFERROR(VLOOKUP(B200,INVENTORY!A:D,4,FALSE),""))</f>
        <v/>
      </c>
      <c r="E200" s="19">
        <f>IF(OR(B200="",C200=""),"",D200*C200)</f>
        <v/>
      </c>
      <c r="F200" s="19">
        <f>IF(OR(B200="",C200=""),"",IFERROR(VLOOKUP(B200,INVENTORY!A:C,3,FALSE),"")*C200)</f>
        <v/>
      </c>
      <c r="G200" s="19">
        <f>IF(OR(B200="",C200=""),"",E200-F200)</f>
        <v/>
      </c>
    </row>
    <row r="201">
      <c r="A201" s="20" t="n"/>
      <c r="B201" s="18" t="n"/>
      <c r="C201" s="18" t="n"/>
      <c r="D201" s="19">
        <f>IF(OR(B201="",C201=""),"",IFERROR(VLOOKUP(B201,INVENTORY!A:D,4,FALSE),""))</f>
        <v/>
      </c>
      <c r="E201" s="19">
        <f>IF(OR(B201="",C201=""),"",D201*C201)</f>
        <v/>
      </c>
      <c r="F201" s="19">
        <f>IF(OR(B201="",C201=""),"",IFERROR(VLOOKUP(B201,INVENTORY!A:C,3,FALSE),"")*C201)</f>
        <v/>
      </c>
      <c r="G201" s="19">
        <f>IF(OR(B201="",C201=""),"",E201-F201)</f>
        <v/>
      </c>
    </row>
  </sheetData>
  <autoFilter ref="A1:G201"/>
  <conditionalFormatting sqref="G2:G201">
    <cfRule type="cellIs" priority="1" operator="lessThan" dxfId="2">
      <formula>0</formula>
    </cfRule>
  </conditionalFormatting>
  <dataValidations count="1">
    <dataValidation sqref="B2:B201" showDropDown="0" showInputMessage="0" showErrorMessage="0" allowBlank="1" type="list">
      <formula1>=INVENTORY!$A$2:$A$201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3" customWidth="1" min="4" max="4"/>
    <col width="12" customWidth="1" min="5" max="5"/>
    <col width="9" customWidth="1" min="6" max="6"/>
    <col width="12" customWidth="1" min="7" max="7"/>
    <col width="16" customWidth="1" min="8" max="8"/>
  </cols>
  <sheetData>
    <row r="1">
      <c r="A1" s="17" t="inlineStr">
        <is>
          <t>Date</t>
        </is>
      </c>
      <c r="B1" s="17" t="inlineStr">
        <is>
          <t>Customer</t>
        </is>
      </c>
      <c r="C1" s="17" t="inlineStr">
        <is>
          <t>Item / Notes</t>
        </is>
      </c>
      <c r="D1" s="17" t="inlineStr">
        <is>
          <t>Amount (₱)</t>
        </is>
      </c>
      <c r="E1" s="17" t="inlineStr">
        <is>
          <t>Due Date</t>
        </is>
      </c>
      <c r="F1" s="17" t="inlineStr">
        <is>
          <t>Paid?</t>
        </is>
      </c>
      <c r="G1" s="17" t="inlineStr">
        <is>
          <t>Days Overdue</t>
        </is>
      </c>
      <c r="H1" s="17" t="inlineStr">
        <is>
          <t>Status</t>
        </is>
      </c>
    </row>
    <row r="2">
      <c r="A2" s="20" t="n"/>
      <c r="B2" s="18" t="n"/>
      <c r="C2" s="18" t="n"/>
      <c r="D2" s="19" t="n"/>
      <c r="E2" s="20" t="n"/>
      <c r="F2" s="18" t="n"/>
      <c r="G2" s="18">
        <f>IF(OR(E2="",F2="Yes"),"",MAX(0,TODAY()-E2))</f>
        <v/>
      </c>
      <c r="H2" s="18">
        <f>IF(F2="Yes","✅ PAID",IF(A2="","",IF(G2&gt;0,"🔴 KULIKAHIN NA!","🕒 Hindi pa due")))</f>
        <v/>
      </c>
    </row>
    <row r="3">
      <c r="A3" s="20" t="n"/>
      <c r="B3" s="18" t="n"/>
      <c r="C3" s="18" t="n"/>
      <c r="D3" s="19" t="n"/>
      <c r="E3" s="20" t="n"/>
      <c r="F3" s="18" t="n"/>
      <c r="G3" s="18">
        <f>IF(OR(E3="",F3="Yes"),"",MAX(0,TODAY()-E3))</f>
        <v/>
      </c>
      <c r="H3" s="18">
        <f>IF(F3="Yes","✅ PAID",IF(A3="","",IF(G3&gt;0,"🔴 KULIKAHIN NA!","🕒 Hindi pa due")))</f>
        <v/>
      </c>
    </row>
    <row r="4">
      <c r="A4" s="20" t="n"/>
      <c r="B4" s="18" t="n"/>
      <c r="C4" s="18" t="n"/>
      <c r="D4" s="19" t="n"/>
      <c r="E4" s="20" t="n"/>
      <c r="F4" s="18" t="n"/>
      <c r="G4" s="18">
        <f>IF(OR(E4="",F4="Yes"),"",MAX(0,TODAY()-E4))</f>
        <v/>
      </c>
      <c r="H4" s="18">
        <f>IF(F4="Yes","✅ PAID",IF(A4="","",IF(G4&gt;0,"🔴 KULIKAHIN NA!","🕒 Hindi pa due")))</f>
        <v/>
      </c>
    </row>
    <row r="5">
      <c r="A5" s="20" t="n"/>
      <c r="B5" s="18" t="n"/>
      <c r="C5" s="18" t="n"/>
      <c r="D5" s="19" t="n"/>
      <c r="E5" s="20" t="n"/>
      <c r="F5" s="18" t="n"/>
      <c r="G5" s="18">
        <f>IF(OR(E5="",F5="Yes"),"",MAX(0,TODAY()-E5))</f>
        <v/>
      </c>
      <c r="H5" s="18">
        <f>IF(F5="Yes","✅ PAID",IF(A5="","",IF(G5&gt;0,"🔴 KULIKAHIN NA!","🕒 Hindi pa due")))</f>
        <v/>
      </c>
    </row>
    <row r="6">
      <c r="A6" s="20" t="n"/>
      <c r="B6" s="18" t="n"/>
      <c r="C6" s="18" t="n"/>
      <c r="D6" s="19" t="n"/>
      <c r="E6" s="20" t="n"/>
      <c r="F6" s="18" t="n"/>
      <c r="G6" s="18">
        <f>IF(OR(E6="",F6="Yes"),"",MAX(0,TODAY()-E6))</f>
        <v/>
      </c>
      <c r="H6" s="18">
        <f>IF(F6="Yes","✅ PAID",IF(A6="","",IF(G6&gt;0,"🔴 KULIKAHIN NA!","🕒 Hindi pa due")))</f>
        <v/>
      </c>
    </row>
    <row r="7">
      <c r="A7" s="20" t="n"/>
      <c r="B7" s="18" t="n"/>
      <c r="C7" s="18" t="n"/>
      <c r="D7" s="19" t="n"/>
      <c r="E7" s="20" t="n"/>
      <c r="F7" s="18" t="n"/>
      <c r="G7" s="18">
        <f>IF(OR(E7="",F7="Yes"),"",MAX(0,TODAY()-E7))</f>
        <v/>
      </c>
      <c r="H7" s="18">
        <f>IF(F7="Yes","✅ PAID",IF(A7="","",IF(G7&gt;0,"🔴 KULIKAHIN NA!","🕒 Hindi pa due")))</f>
        <v/>
      </c>
    </row>
    <row r="8">
      <c r="A8" s="20" t="n"/>
      <c r="B8" s="18" t="n"/>
      <c r="C8" s="18" t="n"/>
      <c r="D8" s="19" t="n"/>
      <c r="E8" s="20" t="n"/>
      <c r="F8" s="18" t="n"/>
      <c r="G8" s="18">
        <f>IF(OR(E8="",F8="Yes"),"",MAX(0,TODAY()-E8))</f>
        <v/>
      </c>
      <c r="H8" s="18">
        <f>IF(F8="Yes","✅ PAID",IF(A8="","",IF(G8&gt;0,"🔴 KULIKAHIN NA!","🕒 Hindi pa due")))</f>
        <v/>
      </c>
    </row>
    <row r="9">
      <c r="A9" s="20" t="n"/>
      <c r="B9" s="18" t="n"/>
      <c r="C9" s="18" t="n"/>
      <c r="D9" s="19" t="n"/>
      <c r="E9" s="20" t="n"/>
      <c r="F9" s="18" t="n"/>
      <c r="G9" s="18">
        <f>IF(OR(E9="",F9="Yes"),"",MAX(0,TODAY()-E9))</f>
        <v/>
      </c>
      <c r="H9" s="18">
        <f>IF(F9="Yes","✅ PAID",IF(A9="","",IF(G9&gt;0,"🔴 KULIKAHIN NA!","🕒 Hindi pa due")))</f>
        <v/>
      </c>
    </row>
    <row r="10">
      <c r="A10" s="20" t="n"/>
      <c r="B10" s="18" t="n"/>
      <c r="C10" s="18" t="n"/>
      <c r="D10" s="19" t="n"/>
      <c r="E10" s="20" t="n"/>
      <c r="F10" s="18" t="n"/>
      <c r="G10" s="18">
        <f>IF(OR(E10="",F10="Yes"),"",MAX(0,TODAY()-E10))</f>
        <v/>
      </c>
      <c r="H10" s="18">
        <f>IF(F10="Yes","✅ PAID",IF(A10="","",IF(G10&gt;0,"🔴 KULIKAHIN NA!","🕒 Hindi pa due")))</f>
        <v/>
      </c>
    </row>
    <row r="11">
      <c r="A11" s="20" t="n"/>
      <c r="B11" s="18" t="n"/>
      <c r="C11" s="18" t="n"/>
      <c r="D11" s="19" t="n"/>
      <c r="E11" s="20" t="n"/>
      <c r="F11" s="18" t="n"/>
      <c r="G11" s="18">
        <f>IF(OR(E11="",F11="Yes"),"",MAX(0,TODAY()-E11))</f>
        <v/>
      </c>
      <c r="H11" s="18">
        <f>IF(F11="Yes","✅ PAID",IF(A11="","",IF(G11&gt;0,"🔴 KULIKAHIN NA!","🕒 Hindi pa due")))</f>
        <v/>
      </c>
    </row>
    <row r="12">
      <c r="A12" s="20" t="n"/>
      <c r="B12" s="18" t="n"/>
      <c r="C12" s="18" t="n"/>
      <c r="D12" s="19" t="n"/>
      <c r="E12" s="20" t="n"/>
      <c r="F12" s="18" t="n"/>
      <c r="G12" s="18">
        <f>IF(OR(E12="",F12="Yes"),"",MAX(0,TODAY()-E12))</f>
        <v/>
      </c>
      <c r="H12" s="18">
        <f>IF(F12="Yes","✅ PAID",IF(A12="","",IF(G12&gt;0,"🔴 KULIKAHIN NA!","🕒 Hindi pa due")))</f>
        <v/>
      </c>
    </row>
    <row r="13">
      <c r="A13" s="20" t="n"/>
      <c r="B13" s="18" t="n"/>
      <c r="C13" s="18" t="n"/>
      <c r="D13" s="19" t="n"/>
      <c r="E13" s="20" t="n"/>
      <c r="F13" s="18" t="n"/>
      <c r="G13" s="18">
        <f>IF(OR(E13="",F13="Yes"),"",MAX(0,TODAY()-E13))</f>
        <v/>
      </c>
      <c r="H13" s="18">
        <f>IF(F13="Yes","✅ PAID",IF(A13="","",IF(G13&gt;0,"🔴 KULIKAHIN NA!","🕒 Hindi pa due")))</f>
        <v/>
      </c>
    </row>
    <row r="14">
      <c r="A14" s="20" t="n"/>
      <c r="B14" s="18" t="n"/>
      <c r="C14" s="18" t="n"/>
      <c r="D14" s="19" t="n"/>
      <c r="E14" s="20" t="n"/>
      <c r="F14" s="18" t="n"/>
      <c r="G14" s="18">
        <f>IF(OR(E14="",F14="Yes"),"",MAX(0,TODAY()-E14))</f>
        <v/>
      </c>
      <c r="H14" s="18">
        <f>IF(F14="Yes","✅ PAID",IF(A14="","",IF(G14&gt;0,"🔴 KULIKAHIN NA!","🕒 Hindi pa due")))</f>
        <v/>
      </c>
    </row>
    <row r="15">
      <c r="A15" s="20" t="n"/>
      <c r="B15" s="18" t="n"/>
      <c r="C15" s="18" t="n"/>
      <c r="D15" s="19" t="n"/>
      <c r="E15" s="20" t="n"/>
      <c r="F15" s="18" t="n"/>
      <c r="G15" s="18">
        <f>IF(OR(E15="",F15="Yes"),"",MAX(0,TODAY()-E15))</f>
        <v/>
      </c>
      <c r="H15" s="18">
        <f>IF(F15="Yes","✅ PAID",IF(A15="","",IF(G15&gt;0,"🔴 KULIKAHIN NA!","🕒 Hindi pa due")))</f>
        <v/>
      </c>
    </row>
    <row r="16">
      <c r="A16" s="20" t="n"/>
      <c r="B16" s="18" t="n"/>
      <c r="C16" s="18" t="n"/>
      <c r="D16" s="19" t="n"/>
      <c r="E16" s="20" t="n"/>
      <c r="F16" s="18" t="n"/>
      <c r="G16" s="18">
        <f>IF(OR(E16="",F16="Yes"),"",MAX(0,TODAY()-E16))</f>
        <v/>
      </c>
      <c r="H16" s="18">
        <f>IF(F16="Yes","✅ PAID",IF(A16="","",IF(G16&gt;0,"🔴 KULIKAHIN NA!","🕒 Hindi pa due")))</f>
        <v/>
      </c>
    </row>
    <row r="17">
      <c r="A17" s="20" t="n"/>
      <c r="B17" s="18" t="n"/>
      <c r="C17" s="18" t="n"/>
      <c r="D17" s="19" t="n"/>
      <c r="E17" s="20" t="n"/>
      <c r="F17" s="18" t="n"/>
      <c r="G17" s="18">
        <f>IF(OR(E17="",F17="Yes"),"",MAX(0,TODAY()-E17))</f>
        <v/>
      </c>
      <c r="H17" s="18">
        <f>IF(F17="Yes","✅ PAID",IF(A17="","",IF(G17&gt;0,"🔴 KULIKAHIN NA!","🕒 Hindi pa due")))</f>
        <v/>
      </c>
    </row>
    <row r="18">
      <c r="A18" s="20" t="n"/>
      <c r="B18" s="18" t="n"/>
      <c r="C18" s="18" t="n"/>
      <c r="D18" s="19" t="n"/>
      <c r="E18" s="20" t="n"/>
      <c r="F18" s="18" t="n"/>
      <c r="G18" s="18">
        <f>IF(OR(E18="",F18="Yes"),"",MAX(0,TODAY()-E18))</f>
        <v/>
      </c>
      <c r="H18" s="18">
        <f>IF(F18="Yes","✅ PAID",IF(A18="","",IF(G18&gt;0,"🔴 KULIKAHIN NA!","🕒 Hindi pa due")))</f>
        <v/>
      </c>
    </row>
    <row r="19">
      <c r="A19" s="20" t="n"/>
      <c r="B19" s="18" t="n"/>
      <c r="C19" s="18" t="n"/>
      <c r="D19" s="19" t="n"/>
      <c r="E19" s="20" t="n"/>
      <c r="F19" s="18" t="n"/>
      <c r="G19" s="18">
        <f>IF(OR(E19="",F19="Yes"),"",MAX(0,TODAY()-E19))</f>
        <v/>
      </c>
      <c r="H19" s="18">
        <f>IF(F19="Yes","✅ PAID",IF(A19="","",IF(G19&gt;0,"🔴 KULIKAHIN NA!","🕒 Hindi pa due")))</f>
        <v/>
      </c>
    </row>
    <row r="20">
      <c r="A20" s="20" t="n"/>
      <c r="B20" s="18" t="n"/>
      <c r="C20" s="18" t="n"/>
      <c r="D20" s="19" t="n"/>
      <c r="E20" s="20" t="n"/>
      <c r="F20" s="18" t="n"/>
      <c r="G20" s="18">
        <f>IF(OR(E20="",F20="Yes"),"",MAX(0,TODAY()-E20))</f>
        <v/>
      </c>
      <c r="H20" s="18">
        <f>IF(F20="Yes","✅ PAID",IF(A20="","",IF(G20&gt;0,"🔴 KULIKAHIN NA!","🕒 Hindi pa due")))</f>
        <v/>
      </c>
    </row>
    <row r="21">
      <c r="A21" s="20" t="n"/>
      <c r="B21" s="18" t="n"/>
      <c r="C21" s="18" t="n"/>
      <c r="D21" s="19" t="n"/>
      <c r="E21" s="20" t="n"/>
      <c r="F21" s="18" t="n"/>
      <c r="G21" s="18">
        <f>IF(OR(E21="",F21="Yes"),"",MAX(0,TODAY()-E21))</f>
        <v/>
      </c>
      <c r="H21" s="18">
        <f>IF(F21="Yes","✅ PAID",IF(A21="","",IF(G21&gt;0,"🔴 KULIKAHIN NA!","🕒 Hindi pa due")))</f>
        <v/>
      </c>
    </row>
    <row r="22">
      <c r="A22" s="20" t="n"/>
      <c r="B22" s="18" t="n"/>
      <c r="C22" s="18" t="n"/>
      <c r="D22" s="19" t="n"/>
      <c r="E22" s="20" t="n"/>
      <c r="F22" s="18" t="n"/>
      <c r="G22" s="18">
        <f>IF(OR(E22="",F22="Yes"),"",MAX(0,TODAY()-E22))</f>
        <v/>
      </c>
      <c r="H22" s="18">
        <f>IF(F22="Yes","✅ PAID",IF(A22="","",IF(G22&gt;0,"🔴 KULIKAHIN NA!","🕒 Hindi pa due")))</f>
        <v/>
      </c>
    </row>
    <row r="23">
      <c r="A23" s="20" t="n"/>
      <c r="B23" s="18" t="n"/>
      <c r="C23" s="18" t="n"/>
      <c r="D23" s="19" t="n"/>
      <c r="E23" s="20" t="n"/>
      <c r="F23" s="18" t="n"/>
      <c r="G23" s="18">
        <f>IF(OR(E23="",F23="Yes"),"",MAX(0,TODAY()-E23))</f>
        <v/>
      </c>
      <c r="H23" s="18">
        <f>IF(F23="Yes","✅ PAID",IF(A23="","",IF(G23&gt;0,"🔴 KULIKAHIN NA!","🕒 Hindi pa due")))</f>
        <v/>
      </c>
    </row>
    <row r="24">
      <c r="A24" s="20" t="n"/>
      <c r="B24" s="18" t="n"/>
      <c r="C24" s="18" t="n"/>
      <c r="D24" s="19" t="n"/>
      <c r="E24" s="20" t="n"/>
      <c r="F24" s="18" t="n"/>
      <c r="G24" s="18">
        <f>IF(OR(E24="",F24="Yes"),"",MAX(0,TODAY()-E24))</f>
        <v/>
      </c>
      <c r="H24" s="18">
        <f>IF(F24="Yes","✅ PAID",IF(A24="","",IF(G24&gt;0,"🔴 KULIKAHIN NA!","🕒 Hindi pa due")))</f>
        <v/>
      </c>
    </row>
    <row r="25">
      <c r="A25" s="20" t="n"/>
      <c r="B25" s="18" t="n"/>
      <c r="C25" s="18" t="n"/>
      <c r="D25" s="19" t="n"/>
      <c r="E25" s="20" t="n"/>
      <c r="F25" s="18" t="n"/>
      <c r="G25" s="18">
        <f>IF(OR(E25="",F25="Yes"),"",MAX(0,TODAY()-E25))</f>
        <v/>
      </c>
      <c r="H25" s="18">
        <f>IF(F25="Yes","✅ PAID",IF(A25="","",IF(G25&gt;0,"🔴 KULIKAHIN NA!","🕒 Hindi pa due")))</f>
        <v/>
      </c>
    </row>
    <row r="26">
      <c r="A26" s="20" t="n"/>
      <c r="B26" s="18" t="n"/>
      <c r="C26" s="18" t="n"/>
      <c r="D26" s="19" t="n"/>
      <c r="E26" s="20" t="n"/>
      <c r="F26" s="18" t="n"/>
      <c r="G26" s="18">
        <f>IF(OR(E26="",F26="Yes"),"",MAX(0,TODAY()-E26))</f>
        <v/>
      </c>
      <c r="H26" s="18">
        <f>IF(F26="Yes","✅ PAID",IF(A26="","",IF(G26&gt;0,"🔴 KULIKAHIN NA!","🕒 Hindi pa due")))</f>
        <v/>
      </c>
    </row>
    <row r="27">
      <c r="A27" s="20" t="n"/>
      <c r="B27" s="18" t="n"/>
      <c r="C27" s="18" t="n"/>
      <c r="D27" s="19" t="n"/>
      <c r="E27" s="20" t="n"/>
      <c r="F27" s="18" t="n"/>
      <c r="G27" s="18">
        <f>IF(OR(E27="",F27="Yes"),"",MAX(0,TODAY()-E27))</f>
        <v/>
      </c>
      <c r="H27" s="18">
        <f>IF(F27="Yes","✅ PAID",IF(A27="","",IF(G27&gt;0,"🔴 KULIKAHIN NA!","🕒 Hindi pa due")))</f>
        <v/>
      </c>
    </row>
    <row r="28">
      <c r="A28" s="20" t="n"/>
      <c r="B28" s="18" t="n"/>
      <c r="C28" s="18" t="n"/>
      <c r="D28" s="19" t="n"/>
      <c r="E28" s="20" t="n"/>
      <c r="F28" s="18" t="n"/>
      <c r="G28" s="18">
        <f>IF(OR(E28="",F28="Yes"),"",MAX(0,TODAY()-E28))</f>
        <v/>
      </c>
      <c r="H28" s="18">
        <f>IF(F28="Yes","✅ PAID",IF(A28="","",IF(G28&gt;0,"🔴 KULIKAHIN NA!","🕒 Hindi pa due")))</f>
        <v/>
      </c>
    </row>
    <row r="29">
      <c r="A29" s="20" t="n"/>
      <c r="B29" s="18" t="n"/>
      <c r="C29" s="18" t="n"/>
      <c r="D29" s="19" t="n"/>
      <c r="E29" s="20" t="n"/>
      <c r="F29" s="18" t="n"/>
      <c r="G29" s="18">
        <f>IF(OR(E29="",F29="Yes"),"",MAX(0,TODAY()-E29))</f>
        <v/>
      </c>
      <c r="H29" s="18">
        <f>IF(F29="Yes","✅ PAID",IF(A29="","",IF(G29&gt;0,"🔴 KULIKAHIN NA!","🕒 Hindi pa due")))</f>
        <v/>
      </c>
    </row>
    <row r="30">
      <c r="A30" s="20" t="n"/>
      <c r="B30" s="18" t="n"/>
      <c r="C30" s="18" t="n"/>
      <c r="D30" s="19" t="n"/>
      <c r="E30" s="20" t="n"/>
      <c r="F30" s="18" t="n"/>
      <c r="G30" s="18">
        <f>IF(OR(E30="",F30="Yes"),"",MAX(0,TODAY()-E30))</f>
        <v/>
      </c>
      <c r="H30" s="18">
        <f>IF(F30="Yes","✅ PAID",IF(A30="","",IF(G30&gt;0,"🔴 KULIKAHIN NA!","🕒 Hindi pa due")))</f>
        <v/>
      </c>
    </row>
    <row r="31">
      <c r="A31" s="20" t="n"/>
      <c r="B31" s="18" t="n"/>
      <c r="C31" s="18" t="n"/>
      <c r="D31" s="19" t="n"/>
      <c r="E31" s="20" t="n"/>
      <c r="F31" s="18" t="n"/>
      <c r="G31" s="18">
        <f>IF(OR(E31="",F31="Yes"),"",MAX(0,TODAY()-E31))</f>
        <v/>
      </c>
      <c r="H31" s="18">
        <f>IF(F31="Yes","✅ PAID",IF(A31="","",IF(G31&gt;0,"🔴 KULIKAHIN NA!","🕒 Hindi pa due")))</f>
        <v/>
      </c>
    </row>
    <row r="32">
      <c r="A32" s="20" t="n"/>
      <c r="B32" s="18" t="n"/>
      <c r="C32" s="18" t="n"/>
      <c r="D32" s="19" t="n"/>
      <c r="E32" s="20" t="n"/>
      <c r="F32" s="18" t="n"/>
      <c r="G32" s="18">
        <f>IF(OR(E32="",F32="Yes"),"",MAX(0,TODAY()-E32))</f>
        <v/>
      </c>
      <c r="H32" s="18">
        <f>IF(F32="Yes","✅ PAID",IF(A32="","",IF(G32&gt;0,"🔴 KULIKAHIN NA!","🕒 Hindi pa due")))</f>
        <v/>
      </c>
    </row>
    <row r="33">
      <c r="A33" s="20" t="n"/>
      <c r="B33" s="18" t="n"/>
      <c r="C33" s="18" t="n"/>
      <c r="D33" s="19" t="n"/>
      <c r="E33" s="20" t="n"/>
      <c r="F33" s="18" t="n"/>
      <c r="G33" s="18">
        <f>IF(OR(E33="",F33="Yes"),"",MAX(0,TODAY()-E33))</f>
        <v/>
      </c>
      <c r="H33" s="18">
        <f>IF(F33="Yes","✅ PAID",IF(A33="","",IF(G33&gt;0,"🔴 KULIKAHIN NA!","🕒 Hindi pa due")))</f>
        <v/>
      </c>
    </row>
    <row r="34">
      <c r="A34" s="20" t="n"/>
      <c r="B34" s="18" t="n"/>
      <c r="C34" s="18" t="n"/>
      <c r="D34" s="19" t="n"/>
      <c r="E34" s="20" t="n"/>
      <c r="F34" s="18" t="n"/>
      <c r="G34" s="18">
        <f>IF(OR(E34="",F34="Yes"),"",MAX(0,TODAY()-E34))</f>
        <v/>
      </c>
      <c r="H34" s="18">
        <f>IF(F34="Yes","✅ PAID",IF(A34="","",IF(G34&gt;0,"🔴 KULIKAHIN NA!","🕒 Hindi pa due")))</f>
        <v/>
      </c>
    </row>
    <row r="35">
      <c r="A35" s="20" t="n"/>
      <c r="B35" s="18" t="n"/>
      <c r="C35" s="18" t="n"/>
      <c r="D35" s="19" t="n"/>
      <c r="E35" s="20" t="n"/>
      <c r="F35" s="18" t="n"/>
      <c r="G35" s="18">
        <f>IF(OR(E35="",F35="Yes"),"",MAX(0,TODAY()-E35))</f>
        <v/>
      </c>
      <c r="H35" s="18">
        <f>IF(F35="Yes","✅ PAID",IF(A35="","",IF(G35&gt;0,"🔴 KULIKAHIN NA!","🕒 Hindi pa due")))</f>
        <v/>
      </c>
    </row>
    <row r="36">
      <c r="A36" s="20" t="n"/>
      <c r="B36" s="18" t="n"/>
      <c r="C36" s="18" t="n"/>
      <c r="D36" s="19" t="n"/>
      <c r="E36" s="20" t="n"/>
      <c r="F36" s="18" t="n"/>
      <c r="G36" s="18">
        <f>IF(OR(E36="",F36="Yes"),"",MAX(0,TODAY()-E36))</f>
        <v/>
      </c>
      <c r="H36" s="18">
        <f>IF(F36="Yes","✅ PAID",IF(A36="","",IF(G36&gt;0,"🔴 KULIKAHIN NA!","🕒 Hindi pa due")))</f>
        <v/>
      </c>
    </row>
    <row r="37">
      <c r="A37" s="20" t="n"/>
      <c r="B37" s="18" t="n"/>
      <c r="C37" s="18" t="n"/>
      <c r="D37" s="19" t="n"/>
      <c r="E37" s="20" t="n"/>
      <c r="F37" s="18" t="n"/>
      <c r="G37" s="18">
        <f>IF(OR(E37="",F37="Yes"),"",MAX(0,TODAY()-E37))</f>
        <v/>
      </c>
      <c r="H37" s="18">
        <f>IF(F37="Yes","✅ PAID",IF(A37="","",IF(G37&gt;0,"🔴 KULIKAHIN NA!","🕒 Hindi pa due")))</f>
        <v/>
      </c>
    </row>
    <row r="38">
      <c r="A38" s="20" t="n"/>
      <c r="B38" s="18" t="n"/>
      <c r="C38" s="18" t="n"/>
      <c r="D38" s="19" t="n"/>
      <c r="E38" s="20" t="n"/>
      <c r="F38" s="18" t="n"/>
      <c r="G38" s="18">
        <f>IF(OR(E38="",F38="Yes"),"",MAX(0,TODAY()-E38))</f>
        <v/>
      </c>
      <c r="H38" s="18">
        <f>IF(F38="Yes","✅ PAID",IF(A38="","",IF(G38&gt;0,"🔴 KULIKAHIN NA!","🕒 Hindi pa due")))</f>
        <v/>
      </c>
    </row>
    <row r="39">
      <c r="A39" s="20" t="n"/>
      <c r="B39" s="18" t="n"/>
      <c r="C39" s="18" t="n"/>
      <c r="D39" s="19" t="n"/>
      <c r="E39" s="20" t="n"/>
      <c r="F39" s="18" t="n"/>
      <c r="G39" s="18">
        <f>IF(OR(E39="",F39="Yes"),"",MAX(0,TODAY()-E39))</f>
        <v/>
      </c>
      <c r="H39" s="18">
        <f>IF(F39="Yes","✅ PAID",IF(A39="","",IF(G39&gt;0,"🔴 KULIKAHIN NA!","🕒 Hindi pa due")))</f>
        <v/>
      </c>
    </row>
    <row r="40">
      <c r="A40" s="20" t="n"/>
      <c r="B40" s="18" t="n"/>
      <c r="C40" s="18" t="n"/>
      <c r="D40" s="19" t="n"/>
      <c r="E40" s="20" t="n"/>
      <c r="F40" s="18" t="n"/>
      <c r="G40" s="18">
        <f>IF(OR(E40="",F40="Yes"),"",MAX(0,TODAY()-E40))</f>
        <v/>
      </c>
      <c r="H40" s="18">
        <f>IF(F40="Yes","✅ PAID",IF(A40="","",IF(G40&gt;0,"🔴 KULIKAHIN NA!","🕒 Hindi pa due")))</f>
        <v/>
      </c>
    </row>
    <row r="41">
      <c r="A41" s="20" t="n"/>
      <c r="B41" s="18" t="n"/>
      <c r="C41" s="18" t="n"/>
      <c r="D41" s="19" t="n"/>
      <c r="E41" s="20" t="n"/>
      <c r="F41" s="18" t="n"/>
      <c r="G41" s="18">
        <f>IF(OR(E41="",F41="Yes"),"",MAX(0,TODAY()-E41))</f>
        <v/>
      </c>
      <c r="H41" s="18">
        <f>IF(F41="Yes","✅ PAID",IF(A41="","",IF(G41&gt;0,"🔴 KULIKAHIN NA!","🕒 Hindi pa due")))</f>
        <v/>
      </c>
    </row>
    <row r="42">
      <c r="A42" s="20" t="n"/>
      <c r="B42" s="18" t="n"/>
      <c r="C42" s="18" t="n"/>
      <c r="D42" s="19" t="n"/>
      <c r="E42" s="20" t="n"/>
      <c r="F42" s="18" t="n"/>
      <c r="G42" s="18">
        <f>IF(OR(E42="",F42="Yes"),"",MAX(0,TODAY()-E42))</f>
        <v/>
      </c>
      <c r="H42" s="18">
        <f>IF(F42="Yes","✅ PAID",IF(A42="","",IF(G42&gt;0,"🔴 KULIKAHIN NA!","🕒 Hindi pa due")))</f>
        <v/>
      </c>
    </row>
    <row r="43">
      <c r="A43" s="20" t="n"/>
      <c r="B43" s="18" t="n"/>
      <c r="C43" s="18" t="n"/>
      <c r="D43" s="19" t="n"/>
      <c r="E43" s="20" t="n"/>
      <c r="F43" s="18" t="n"/>
      <c r="G43" s="18">
        <f>IF(OR(E43="",F43="Yes"),"",MAX(0,TODAY()-E43))</f>
        <v/>
      </c>
      <c r="H43" s="18">
        <f>IF(F43="Yes","✅ PAID",IF(A43="","",IF(G43&gt;0,"🔴 KULIKAHIN NA!","🕒 Hindi pa due")))</f>
        <v/>
      </c>
    </row>
    <row r="44">
      <c r="A44" s="20" t="n"/>
      <c r="B44" s="18" t="n"/>
      <c r="C44" s="18" t="n"/>
      <c r="D44" s="19" t="n"/>
      <c r="E44" s="20" t="n"/>
      <c r="F44" s="18" t="n"/>
      <c r="G44" s="18">
        <f>IF(OR(E44="",F44="Yes"),"",MAX(0,TODAY()-E44))</f>
        <v/>
      </c>
      <c r="H44" s="18">
        <f>IF(F44="Yes","✅ PAID",IF(A44="","",IF(G44&gt;0,"🔴 KULIKAHIN NA!","🕒 Hindi pa due")))</f>
        <v/>
      </c>
    </row>
    <row r="45">
      <c r="A45" s="20" t="n"/>
      <c r="B45" s="18" t="n"/>
      <c r="C45" s="18" t="n"/>
      <c r="D45" s="19" t="n"/>
      <c r="E45" s="20" t="n"/>
      <c r="F45" s="18" t="n"/>
      <c r="G45" s="18">
        <f>IF(OR(E45="",F45="Yes"),"",MAX(0,TODAY()-E45))</f>
        <v/>
      </c>
      <c r="H45" s="18">
        <f>IF(F45="Yes","✅ PAID",IF(A45="","",IF(G45&gt;0,"🔴 KULIKAHIN NA!","🕒 Hindi pa due")))</f>
        <v/>
      </c>
    </row>
    <row r="46">
      <c r="A46" s="20" t="n"/>
      <c r="B46" s="18" t="n"/>
      <c r="C46" s="18" t="n"/>
      <c r="D46" s="19" t="n"/>
      <c r="E46" s="20" t="n"/>
      <c r="F46" s="18" t="n"/>
      <c r="G46" s="18">
        <f>IF(OR(E46="",F46="Yes"),"",MAX(0,TODAY()-E46))</f>
        <v/>
      </c>
      <c r="H46" s="18">
        <f>IF(F46="Yes","✅ PAID",IF(A46="","",IF(G46&gt;0,"🔴 KULIKAHIN NA!","🕒 Hindi pa due")))</f>
        <v/>
      </c>
    </row>
    <row r="47">
      <c r="A47" s="20" t="n"/>
      <c r="B47" s="18" t="n"/>
      <c r="C47" s="18" t="n"/>
      <c r="D47" s="19" t="n"/>
      <c r="E47" s="20" t="n"/>
      <c r="F47" s="18" t="n"/>
      <c r="G47" s="18">
        <f>IF(OR(E47="",F47="Yes"),"",MAX(0,TODAY()-E47))</f>
        <v/>
      </c>
      <c r="H47" s="18">
        <f>IF(F47="Yes","✅ PAID",IF(A47="","",IF(G47&gt;0,"🔴 KULIKAHIN NA!","🕒 Hindi pa due")))</f>
        <v/>
      </c>
    </row>
    <row r="48">
      <c r="A48" s="20" t="n"/>
      <c r="B48" s="18" t="n"/>
      <c r="C48" s="18" t="n"/>
      <c r="D48" s="19" t="n"/>
      <c r="E48" s="20" t="n"/>
      <c r="F48" s="18" t="n"/>
      <c r="G48" s="18">
        <f>IF(OR(E48="",F48="Yes"),"",MAX(0,TODAY()-E48))</f>
        <v/>
      </c>
      <c r="H48" s="18">
        <f>IF(F48="Yes","✅ PAID",IF(A48="","",IF(G48&gt;0,"🔴 KULIKAHIN NA!","🕒 Hindi pa due")))</f>
        <v/>
      </c>
    </row>
    <row r="49">
      <c r="A49" s="20" t="n"/>
      <c r="B49" s="18" t="n"/>
      <c r="C49" s="18" t="n"/>
      <c r="D49" s="19" t="n"/>
      <c r="E49" s="20" t="n"/>
      <c r="F49" s="18" t="n"/>
      <c r="G49" s="18">
        <f>IF(OR(E49="",F49="Yes"),"",MAX(0,TODAY()-E49))</f>
        <v/>
      </c>
      <c r="H49" s="18">
        <f>IF(F49="Yes","✅ PAID",IF(A49="","",IF(G49&gt;0,"🔴 KULIKAHIN NA!","🕒 Hindi pa due")))</f>
        <v/>
      </c>
    </row>
    <row r="50">
      <c r="A50" s="20" t="n"/>
      <c r="B50" s="18" t="n"/>
      <c r="C50" s="18" t="n"/>
      <c r="D50" s="19" t="n"/>
      <c r="E50" s="20" t="n"/>
      <c r="F50" s="18" t="n"/>
      <c r="G50" s="18">
        <f>IF(OR(E50="",F50="Yes"),"",MAX(0,TODAY()-E50))</f>
        <v/>
      </c>
      <c r="H50" s="18">
        <f>IF(F50="Yes","✅ PAID",IF(A50="","",IF(G50&gt;0,"🔴 KULIKAHIN NA!","🕒 Hindi pa due")))</f>
        <v/>
      </c>
    </row>
    <row r="51">
      <c r="A51" s="20" t="n"/>
      <c r="B51" s="18" t="n"/>
      <c r="C51" s="18" t="n"/>
      <c r="D51" s="19" t="n"/>
      <c r="E51" s="20" t="n"/>
      <c r="F51" s="18" t="n"/>
      <c r="G51" s="18">
        <f>IF(OR(E51="",F51="Yes"),"",MAX(0,TODAY()-E51))</f>
        <v/>
      </c>
      <c r="H51" s="18">
        <f>IF(F51="Yes","✅ PAID",IF(A51="","",IF(G51&gt;0,"🔴 KULIKAHIN NA!","🕒 Hindi pa due")))</f>
        <v/>
      </c>
    </row>
    <row r="52">
      <c r="A52" s="20" t="n"/>
      <c r="B52" s="18" t="n"/>
      <c r="C52" s="18" t="n"/>
      <c r="D52" s="19" t="n"/>
      <c r="E52" s="20" t="n"/>
      <c r="F52" s="18" t="n"/>
      <c r="G52" s="18">
        <f>IF(OR(E52="",F52="Yes"),"",MAX(0,TODAY()-E52))</f>
        <v/>
      </c>
      <c r="H52" s="18">
        <f>IF(F52="Yes","✅ PAID",IF(A52="","",IF(G52&gt;0,"🔴 KULIKAHIN NA!","🕒 Hindi pa due")))</f>
        <v/>
      </c>
    </row>
    <row r="53">
      <c r="A53" s="20" t="n"/>
      <c r="B53" s="18" t="n"/>
      <c r="C53" s="18" t="n"/>
      <c r="D53" s="19" t="n"/>
      <c r="E53" s="20" t="n"/>
      <c r="F53" s="18" t="n"/>
      <c r="G53" s="18">
        <f>IF(OR(E53="",F53="Yes"),"",MAX(0,TODAY()-E53))</f>
        <v/>
      </c>
      <c r="H53" s="18">
        <f>IF(F53="Yes","✅ PAID",IF(A53="","",IF(G53&gt;0,"🔴 KULIKAHIN NA!","🕒 Hindi pa due")))</f>
        <v/>
      </c>
    </row>
    <row r="54">
      <c r="A54" s="20" t="n"/>
      <c r="B54" s="18" t="n"/>
      <c r="C54" s="18" t="n"/>
      <c r="D54" s="19" t="n"/>
      <c r="E54" s="20" t="n"/>
      <c r="F54" s="18" t="n"/>
      <c r="G54" s="18">
        <f>IF(OR(E54="",F54="Yes"),"",MAX(0,TODAY()-E54))</f>
        <v/>
      </c>
      <c r="H54" s="18">
        <f>IF(F54="Yes","✅ PAID",IF(A54="","",IF(G54&gt;0,"🔴 KULIKAHIN NA!","🕒 Hindi pa due")))</f>
        <v/>
      </c>
    </row>
    <row r="55">
      <c r="A55" s="20" t="n"/>
      <c r="B55" s="18" t="n"/>
      <c r="C55" s="18" t="n"/>
      <c r="D55" s="19" t="n"/>
      <c r="E55" s="20" t="n"/>
      <c r="F55" s="18" t="n"/>
      <c r="G55" s="18">
        <f>IF(OR(E55="",F55="Yes"),"",MAX(0,TODAY()-E55))</f>
        <v/>
      </c>
      <c r="H55" s="18">
        <f>IF(F55="Yes","✅ PAID",IF(A55="","",IF(G55&gt;0,"🔴 KULIKAHIN NA!","🕒 Hindi pa due")))</f>
        <v/>
      </c>
    </row>
    <row r="56">
      <c r="A56" s="20" t="n"/>
      <c r="B56" s="18" t="n"/>
      <c r="C56" s="18" t="n"/>
      <c r="D56" s="19" t="n"/>
      <c r="E56" s="20" t="n"/>
      <c r="F56" s="18" t="n"/>
      <c r="G56" s="18">
        <f>IF(OR(E56="",F56="Yes"),"",MAX(0,TODAY()-E56))</f>
        <v/>
      </c>
      <c r="H56" s="18">
        <f>IF(F56="Yes","✅ PAID",IF(A56="","",IF(G56&gt;0,"🔴 KULIKAHIN NA!","🕒 Hindi pa due")))</f>
        <v/>
      </c>
    </row>
    <row r="57">
      <c r="A57" s="20" t="n"/>
      <c r="B57" s="18" t="n"/>
      <c r="C57" s="18" t="n"/>
      <c r="D57" s="19" t="n"/>
      <c r="E57" s="20" t="n"/>
      <c r="F57" s="18" t="n"/>
      <c r="G57" s="18">
        <f>IF(OR(E57="",F57="Yes"),"",MAX(0,TODAY()-E57))</f>
        <v/>
      </c>
      <c r="H57" s="18">
        <f>IF(F57="Yes","✅ PAID",IF(A57="","",IF(G57&gt;0,"🔴 KULIKAHIN NA!","🕒 Hindi pa due")))</f>
        <v/>
      </c>
    </row>
    <row r="58">
      <c r="A58" s="20" t="n"/>
      <c r="B58" s="18" t="n"/>
      <c r="C58" s="18" t="n"/>
      <c r="D58" s="19" t="n"/>
      <c r="E58" s="20" t="n"/>
      <c r="F58" s="18" t="n"/>
      <c r="G58" s="18">
        <f>IF(OR(E58="",F58="Yes"),"",MAX(0,TODAY()-E58))</f>
        <v/>
      </c>
      <c r="H58" s="18">
        <f>IF(F58="Yes","✅ PAID",IF(A58="","",IF(G58&gt;0,"🔴 KULIKAHIN NA!","🕒 Hindi pa due")))</f>
        <v/>
      </c>
    </row>
    <row r="59">
      <c r="A59" s="20" t="n"/>
      <c r="B59" s="18" t="n"/>
      <c r="C59" s="18" t="n"/>
      <c r="D59" s="19" t="n"/>
      <c r="E59" s="20" t="n"/>
      <c r="F59" s="18" t="n"/>
      <c r="G59" s="18">
        <f>IF(OR(E59="",F59="Yes"),"",MAX(0,TODAY()-E59))</f>
        <v/>
      </c>
      <c r="H59" s="18">
        <f>IF(F59="Yes","✅ PAID",IF(A59="","",IF(G59&gt;0,"🔴 KULIKAHIN NA!","🕒 Hindi pa due")))</f>
        <v/>
      </c>
    </row>
    <row r="60">
      <c r="A60" s="20" t="n"/>
      <c r="B60" s="18" t="n"/>
      <c r="C60" s="18" t="n"/>
      <c r="D60" s="19" t="n"/>
      <c r="E60" s="20" t="n"/>
      <c r="F60" s="18" t="n"/>
      <c r="G60" s="18">
        <f>IF(OR(E60="",F60="Yes"),"",MAX(0,TODAY()-E60))</f>
        <v/>
      </c>
      <c r="H60" s="18">
        <f>IF(F60="Yes","✅ PAID",IF(A60="","",IF(G60&gt;0,"🔴 KULIKAHIN NA!","🕒 Hindi pa due")))</f>
        <v/>
      </c>
    </row>
    <row r="61">
      <c r="A61" s="20" t="n"/>
      <c r="B61" s="18" t="n"/>
      <c r="C61" s="18" t="n"/>
      <c r="D61" s="19" t="n"/>
      <c r="E61" s="20" t="n"/>
      <c r="F61" s="18" t="n"/>
      <c r="G61" s="18">
        <f>IF(OR(E61="",F61="Yes"),"",MAX(0,TODAY()-E61))</f>
        <v/>
      </c>
      <c r="H61" s="18">
        <f>IF(F61="Yes","✅ PAID",IF(A61="","",IF(G61&gt;0,"🔴 KULIKAHIN NA!","🕒 Hindi pa due")))</f>
        <v/>
      </c>
    </row>
    <row r="62">
      <c r="A62" s="20" t="n"/>
      <c r="B62" s="18" t="n"/>
      <c r="C62" s="18" t="n"/>
      <c r="D62" s="19" t="n"/>
      <c r="E62" s="20" t="n"/>
      <c r="F62" s="18" t="n"/>
      <c r="G62" s="18">
        <f>IF(OR(E62="",F62="Yes"),"",MAX(0,TODAY()-E62))</f>
        <v/>
      </c>
      <c r="H62" s="18">
        <f>IF(F62="Yes","✅ PAID",IF(A62="","",IF(G62&gt;0,"🔴 KULIKAHIN NA!","🕒 Hindi pa due")))</f>
        <v/>
      </c>
    </row>
    <row r="63">
      <c r="A63" s="20" t="n"/>
      <c r="B63" s="18" t="n"/>
      <c r="C63" s="18" t="n"/>
      <c r="D63" s="19" t="n"/>
      <c r="E63" s="20" t="n"/>
      <c r="F63" s="18" t="n"/>
      <c r="G63" s="18">
        <f>IF(OR(E63="",F63="Yes"),"",MAX(0,TODAY()-E63))</f>
        <v/>
      </c>
      <c r="H63" s="18">
        <f>IF(F63="Yes","✅ PAID",IF(A63="","",IF(G63&gt;0,"🔴 KULIKAHIN NA!","🕒 Hindi pa due")))</f>
        <v/>
      </c>
    </row>
    <row r="64">
      <c r="A64" s="20" t="n"/>
      <c r="B64" s="18" t="n"/>
      <c r="C64" s="18" t="n"/>
      <c r="D64" s="19" t="n"/>
      <c r="E64" s="20" t="n"/>
      <c r="F64" s="18" t="n"/>
      <c r="G64" s="18">
        <f>IF(OR(E64="",F64="Yes"),"",MAX(0,TODAY()-E64))</f>
        <v/>
      </c>
      <c r="H64" s="18">
        <f>IF(F64="Yes","✅ PAID",IF(A64="","",IF(G64&gt;0,"🔴 KULIKAHIN NA!","🕒 Hindi pa due")))</f>
        <v/>
      </c>
    </row>
    <row r="65">
      <c r="A65" s="20" t="n"/>
      <c r="B65" s="18" t="n"/>
      <c r="C65" s="18" t="n"/>
      <c r="D65" s="19" t="n"/>
      <c r="E65" s="20" t="n"/>
      <c r="F65" s="18" t="n"/>
      <c r="G65" s="18">
        <f>IF(OR(E65="",F65="Yes"),"",MAX(0,TODAY()-E65))</f>
        <v/>
      </c>
      <c r="H65" s="18">
        <f>IF(F65="Yes","✅ PAID",IF(A65="","",IF(G65&gt;0,"🔴 KULIKAHIN NA!","🕒 Hindi pa due")))</f>
        <v/>
      </c>
    </row>
    <row r="66">
      <c r="A66" s="20" t="n"/>
      <c r="B66" s="18" t="n"/>
      <c r="C66" s="18" t="n"/>
      <c r="D66" s="19" t="n"/>
      <c r="E66" s="20" t="n"/>
      <c r="F66" s="18" t="n"/>
      <c r="G66" s="18">
        <f>IF(OR(E66="",F66="Yes"),"",MAX(0,TODAY()-E66))</f>
        <v/>
      </c>
      <c r="H66" s="18">
        <f>IF(F66="Yes","✅ PAID",IF(A66="","",IF(G66&gt;0,"🔴 KULIKAHIN NA!","🕒 Hindi pa due")))</f>
        <v/>
      </c>
    </row>
    <row r="67">
      <c r="A67" s="20" t="n"/>
      <c r="B67" s="18" t="n"/>
      <c r="C67" s="18" t="n"/>
      <c r="D67" s="19" t="n"/>
      <c r="E67" s="20" t="n"/>
      <c r="F67" s="18" t="n"/>
      <c r="G67" s="18">
        <f>IF(OR(E67="",F67="Yes"),"",MAX(0,TODAY()-E67))</f>
        <v/>
      </c>
      <c r="H67" s="18">
        <f>IF(F67="Yes","✅ PAID",IF(A67="","",IF(G67&gt;0,"🔴 KULIKAHIN NA!","🕒 Hindi pa due")))</f>
        <v/>
      </c>
    </row>
    <row r="68">
      <c r="A68" s="20" t="n"/>
      <c r="B68" s="18" t="n"/>
      <c r="C68" s="18" t="n"/>
      <c r="D68" s="19" t="n"/>
      <c r="E68" s="20" t="n"/>
      <c r="F68" s="18" t="n"/>
      <c r="G68" s="18">
        <f>IF(OR(E68="",F68="Yes"),"",MAX(0,TODAY()-E68))</f>
        <v/>
      </c>
      <c r="H68" s="18">
        <f>IF(F68="Yes","✅ PAID",IF(A68="","",IF(G68&gt;0,"🔴 KULIKAHIN NA!","🕒 Hindi pa due")))</f>
        <v/>
      </c>
    </row>
    <row r="69">
      <c r="A69" s="20" t="n"/>
      <c r="B69" s="18" t="n"/>
      <c r="C69" s="18" t="n"/>
      <c r="D69" s="19" t="n"/>
      <c r="E69" s="20" t="n"/>
      <c r="F69" s="18" t="n"/>
      <c r="G69" s="18">
        <f>IF(OR(E69="",F69="Yes"),"",MAX(0,TODAY()-E69))</f>
        <v/>
      </c>
      <c r="H69" s="18">
        <f>IF(F69="Yes","✅ PAID",IF(A69="","",IF(G69&gt;0,"🔴 KULIKAHIN NA!","🕒 Hindi pa due")))</f>
        <v/>
      </c>
    </row>
    <row r="70">
      <c r="A70" s="20" t="n"/>
      <c r="B70" s="18" t="n"/>
      <c r="C70" s="18" t="n"/>
      <c r="D70" s="19" t="n"/>
      <c r="E70" s="20" t="n"/>
      <c r="F70" s="18" t="n"/>
      <c r="G70" s="18">
        <f>IF(OR(E70="",F70="Yes"),"",MAX(0,TODAY()-E70))</f>
        <v/>
      </c>
      <c r="H70" s="18">
        <f>IF(F70="Yes","✅ PAID",IF(A70="","",IF(G70&gt;0,"🔴 KULIKAHIN NA!","🕒 Hindi pa due")))</f>
        <v/>
      </c>
    </row>
    <row r="71">
      <c r="A71" s="20" t="n"/>
      <c r="B71" s="18" t="n"/>
      <c r="C71" s="18" t="n"/>
      <c r="D71" s="19" t="n"/>
      <c r="E71" s="20" t="n"/>
      <c r="F71" s="18" t="n"/>
      <c r="G71" s="18">
        <f>IF(OR(E71="",F71="Yes"),"",MAX(0,TODAY()-E71))</f>
        <v/>
      </c>
      <c r="H71" s="18">
        <f>IF(F71="Yes","✅ PAID",IF(A71="","",IF(G71&gt;0,"🔴 KULIKAHIN NA!","🕒 Hindi pa due")))</f>
        <v/>
      </c>
    </row>
    <row r="72">
      <c r="A72" s="20" t="n"/>
      <c r="B72" s="18" t="n"/>
      <c r="C72" s="18" t="n"/>
      <c r="D72" s="19" t="n"/>
      <c r="E72" s="20" t="n"/>
      <c r="F72" s="18" t="n"/>
      <c r="G72" s="18">
        <f>IF(OR(E72="",F72="Yes"),"",MAX(0,TODAY()-E72))</f>
        <v/>
      </c>
      <c r="H72" s="18">
        <f>IF(F72="Yes","✅ PAID",IF(A72="","",IF(G72&gt;0,"🔴 KULIKAHIN NA!","🕒 Hindi pa due")))</f>
        <v/>
      </c>
    </row>
    <row r="73">
      <c r="A73" s="20" t="n"/>
      <c r="B73" s="18" t="n"/>
      <c r="C73" s="18" t="n"/>
      <c r="D73" s="19" t="n"/>
      <c r="E73" s="20" t="n"/>
      <c r="F73" s="18" t="n"/>
      <c r="G73" s="18">
        <f>IF(OR(E73="",F73="Yes"),"",MAX(0,TODAY()-E73))</f>
        <v/>
      </c>
      <c r="H73" s="18">
        <f>IF(F73="Yes","✅ PAID",IF(A73="","",IF(G73&gt;0,"🔴 KULIKAHIN NA!","🕒 Hindi pa due")))</f>
        <v/>
      </c>
    </row>
    <row r="74">
      <c r="A74" s="20" t="n"/>
      <c r="B74" s="18" t="n"/>
      <c r="C74" s="18" t="n"/>
      <c r="D74" s="19" t="n"/>
      <c r="E74" s="20" t="n"/>
      <c r="F74" s="18" t="n"/>
      <c r="G74" s="18">
        <f>IF(OR(E74="",F74="Yes"),"",MAX(0,TODAY()-E74))</f>
        <v/>
      </c>
      <c r="H74" s="18">
        <f>IF(F74="Yes","✅ PAID",IF(A74="","",IF(G74&gt;0,"🔴 KULIKAHIN NA!","🕒 Hindi pa due")))</f>
        <v/>
      </c>
    </row>
    <row r="75">
      <c r="A75" s="20" t="n"/>
      <c r="B75" s="18" t="n"/>
      <c r="C75" s="18" t="n"/>
      <c r="D75" s="19" t="n"/>
      <c r="E75" s="20" t="n"/>
      <c r="F75" s="18" t="n"/>
      <c r="G75" s="18">
        <f>IF(OR(E75="",F75="Yes"),"",MAX(0,TODAY()-E75))</f>
        <v/>
      </c>
      <c r="H75" s="18">
        <f>IF(F75="Yes","✅ PAID",IF(A75="","",IF(G75&gt;0,"🔴 KULIKAHIN NA!","🕒 Hindi pa due")))</f>
        <v/>
      </c>
    </row>
    <row r="76">
      <c r="A76" s="20" t="n"/>
      <c r="B76" s="18" t="n"/>
      <c r="C76" s="18" t="n"/>
      <c r="D76" s="19" t="n"/>
      <c r="E76" s="20" t="n"/>
      <c r="F76" s="18" t="n"/>
      <c r="G76" s="18">
        <f>IF(OR(E76="",F76="Yes"),"",MAX(0,TODAY()-E76))</f>
        <v/>
      </c>
      <c r="H76" s="18">
        <f>IF(F76="Yes","✅ PAID",IF(A76="","",IF(G76&gt;0,"🔴 KULIKAHIN NA!","🕒 Hindi pa due")))</f>
        <v/>
      </c>
    </row>
    <row r="77">
      <c r="A77" s="20" t="n"/>
      <c r="B77" s="18" t="n"/>
      <c r="C77" s="18" t="n"/>
      <c r="D77" s="19" t="n"/>
      <c r="E77" s="20" t="n"/>
      <c r="F77" s="18" t="n"/>
      <c r="G77" s="18">
        <f>IF(OR(E77="",F77="Yes"),"",MAX(0,TODAY()-E77))</f>
        <v/>
      </c>
      <c r="H77" s="18">
        <f>IF(F77="Yes","✅ PAID",IF(A77="","",IF(G77&gt;0,"🔴 KULIKAHIN NA!","🕒 Hindi pa due")))</f>
        <v/>
      </c>
    </row>
    <row r="78">
      <c r="A78" s="20" t="n"/>
      <c r="B78" s="18" t="n"/>
      <c r="C78" s="18" t="n"/>
      <c r="D78" s="19" t="n"/>
      <c r="E78" s="20" t="n"/>
      <c r="F78" s="18" t="n"/>
      <c r="G78" s="18">
        <f>IF(OR(E78="",F78="Yes"),"",MAX(0,TODAY()-E78))</f>
        <v/>
      </c>
      <c r="H78" s="18">
        <f>IF(F78="Yes","✅ PAID",IF(A78="","",IF(G78&gt;0,"🔴 KULIKAHIN NA!","🕒 Hindi pa due")))</f>
        <v/>
      </c>
    </row>
    <row r="79">
      <c r="A79" s="20" t="n"/>
      <c r="B79" s="18" t="n"/>
      <c r="C79" s="18" t="n"/>
      <c r="D79" s="19" t="n"/>
      <c r="E79" s="20" t="n"/>
      <c r="F79" s="18" t="n"/>
      <c r="G79" s="18">
        <f>IF(OR(E79="",F79="Yes"),"",MAX(0,TODAY()-E79))</f>
        <v/>
      </c>
      <c r="H79" s="18">
        <f>IF(F79="Yes","✅ PAID",IF(A79="","",IF(G79&gt;0,"🔴 KULIKAHIN NA!","🕒 Hindi pa due")))</f>
        <v/>
      </c>
    </row>
    <row r="80">
      <c r="A80" s="20" t="n"/>
      <c r="B80" s="18" t="n"/>
      <c r="C80" s="18" t="n"/>
      <c r="D80" s="19" t="n"/>
      <c r="E80" s="20" t="n"/>
      <c r="F80" s="18" t="n"/>
      <c r="G80" s="18">
        <f>IF(OR(E80="",F80="Yes"),"",MAX(0,TODAY()-E80))</f>
        <v/>
      </c>
      <c r="H80" s="18">
        <f>IF(F80="Yes","✅ PAID",IF(A80="","",IF(G80&gt;0,"🔴 KULIKAHIN NA!","🕒 Hindi pa due")))</f>
        <v/>
      </c>
    </row>
    <row r="81">
      <c r="A81" s="20" t="n"/>
      <c r="B81" s="18" t="n"/>
      <c r="C81" s="18" t="n"/>
      <c r="D81" s="19" t="n"/>
      <c r="E81" s="20" t="n"/>
      <c r="F81" s="18" t="n"/>
      <c r="G81" s="18">
        <f>IF(OR(E81="",F81="Yes"),"",MAX(0,TODAY()-E81))</f>
        <v/>
      </c>
      <c r="H81" s="18">
        <f>IF(F81="Yes","✅ PAID",IF(A81="","",IF(G81&gt;0,"🔴 KULIKAHIN NA!","🕒 Hindi pa due")))</f>
        <v/>
      </c>
    </row>
    <row r="82">
      <c r="A82" s="20" t="n"/>
      <c r="B82" s="18" t="n"/>
      <c r="C82" s="18" t="n"/>
      <c r="D82" s="19" t="n"/>
      <c r="E82" s="20" t="n"/>
      <c r="F82" s="18" t="n"/>
      <c r="G82" s="18">
        <f>IF(OR(E82="",F82="Yes"),"",MAX(0,TODAY()-E82))</f>
        <v/>
      </c>
      <c r="H82" s="18">
        <f>IF(F82="Yes","✅ PAID",IF(A82="","",IF(G82&gt;0,"🔴 KULIKAHIN NA!","🕒 Hindi pa due")))</f>
        <v/>
      </c>
    </row>
    <row r="83">
      <c r="A83" s="20" t="n"/>
      <c r="B83" s="18" t="n"/>
      <c r="C83" s="18" t="n"/>
      <c r="D83" s="19" t="n"/>
      <c r="E83" s="20" t="n"/>
      <c r="F83" s="18" t="n"/>
      <c r="G83" s="18">
        <f>IF(OR(E83="",F83="Yes"),"",MAX(0,TODAY()-E83))</f>
        <v/>
      </c>
      <c r="H83" s="18">
        <f>IF(F83="Yes","✅ PAID",IF(A83="","",IF(G83&gt;0,"🔴 KULIKAHIN NA!","🕒 Hindi pa due")))</f>
        <v/>
      </c>
    </row>
    <row r="84">
      <c r="A84" s="20" t="n"/>
      <c r="B84" s="18" t="n"/>
      <c r="C84" s="18" t="n"/>
      <c r="D84" s="19" t="n"/>
      <c r="E84" s="20" t="n"/>
      <c r="F84" s="18" t="n"/>
      <c r="G84" s="18">
        <f>IF(OR(E84="",F84="Yes"),"",MAX(0,TODAY()-E84))</f>
        <v/>
      </c>
      <c r="H84" s="18">
        <f>IF(F84="Yes","✅ PAID",IF(A84="","",IF(G84&gt;0,"🔴 KULIKAHIN NA!","🕒 Hindi pa due")))</f>
        <v/>
      </c>
    </row>
    <row r="85">
      <c r="A85" s="20" t="n"/>
      <c r="B85" s="18" t="n"/>
      <c r="C85" s="18" t="n"/>
      <c r="D85" s="19" t="n"/>
      <c r="E85" s="20" t="n"/>
      <c r="F85" s="18" t="n"/>
      <c r="G85" s="18">
        <f>IF(OR(E85="",F85="Yes"),"",MAX(0,TODAY()-E85))</f>
        <v/>
      </c>
      <c r="H85" s="18">
        <f>IF(F85="Yes","✅ PAID",IF(A85="","",IF(G85&gt;0,"🔴 KULIKAHIN NA!","🕒 Hindi pa due")))</f>
        <v/>
      </c>
    </row>
    <row r="86">
      <c r="A86" s="20" t="n"/>
      <c r="B86" s="18" t="n"/>
      <c r="C86" s="18" t="n"/>
      <c r="D86" s="19" t="n"/>
      <c r="E86" s="20" t="n"/>
      <c r="F86" s="18" t="n"/>
      <c r="G86" s="18">
        <f>IF(OR(E86="",F86="Yes"),"",MAX(0,TODAY()-E86))</f>
        <v/>
      </c>
      <c r="H86" s="18">
        <f>IF(F86="Yes","✅ PAID",IF(A86="","",IF(G86&gt;0,"🔴 KULIKAHIN NA!","🕒 Hindi pa due")))</f>
        <v/>
      </c>
    </row>
    <row r="87">
      <c r="A87" s="20" t="n"/>
      <c r="B87" s="18" t="n"/>
      <c r="C87" s="18" t="n"/>
      <c r="D87" s="19" t="n"/>
      <c r="E87" s="20" t="n"/>
      <c r="F87" s="18" t="n"/>
      <c r="G87" s="18">
        <f>IF(OR(E87="",F87="Yes"),"",MAX(0,TODAY()-E87))</f>
        <v/>
      </c>
      <c r="H87" s="18">
        <f>IF(F87="Yes","✅ PAID",IF(A87="","",IF(G87&gt;0,"🔴 KULIKAHIN NA!","🕒 Hindi pa due")))</f>
        <v/>
      </c>
    </row>
    <row r="88">
      <c r="A88" s="20" t="n"/>
      <c r="B88" s="18" t="n"/>
      <c r="C88" s="18" t="n"/>
      <c r="D88" s="19" t="n"/>
      <c r="E88" s="20" t="n"/>
      <c r="F88" s="18" t="n"/>
      <c r="G88" s="18">
        <f>IF(OR(E88="",F88="Yes"),"",MAX(0,TODAY()-E88))</f>
        <v/>
      </c>
      <c r="H88" s="18">
        <f>IF(F88="Yes","✅ PAID",IF(A88="","",IF(G88&gt;0,"🔴 KULIKAHIN NA!","🕒 Hindi pa due")))</f>
        <v/>
      </c>
    </row>
    <row r="89">
      <c r="A89" s="20" t="n"/>
      <c r="B89" s="18" t="n"/>
      <c r="C89" s="18" t="n"/>
      <c r="D89" s="19" t="n"/>
      <c r="E89" s="20" t="n"/>
      <c r="F89" s="18" t="n"/>
      <c r="G89" s="18">
        <f>IF(OR(E89="",F89="Yes"),"",MAX(0,TODAY()-E89))</f>
        <v/>
      </c>
      <c r="H89" s="18">
        <f>IF(F89="Yes","✅ PAID",IF(A89="","",IF(G89&gt;0,"🔴 KULIKAHIN NA!","🕒 Hindi pa due")))</f>
        <v/>
      </c>
    </row>
    <row r="90">
      <c r="A90" s="20" t="n"/>
      <c r="B90" s="18" t="n"/>
      <c r="C90" s="18" t="n"/>
      <c r="D90" s="19" t="n"/>
      <c r="E90" s="20" t="n"/>
      <c r="F90" s="18" t="n"/>
      <c r="G90" s="18">
        <f>IF(OR(E90="",F90="Yes"),"",MAX(0,TODAY()-E90))</f>
        <v/>
      </c>
      <c r="H90" s="18">
        <f>IF(F90="Yes","✅ PAID",IF(A90="","",IF(G90&gt;0,"🔴 KULIKAHIN NA!","🕒 Hindi pa due")))</f>
        <v/>
      </c>
    </row>
    <row r="91">
      <c r="A91" s="20" t="n"/>
      <c r="B91" s="18" t="n"/>
      <c r="C91" s="18" t="n"/>
      <c r="D91" s="19" t="n"/>
      <c r="E91" s="20" t="n"/>
      <c r="F91" s="18" t="n"/>
      <c r="G91" s="18">
        <f>IF(OR(E91="",F91="Yes"),"",MAX(0,TODAY()-E91))</f>
        <v/>
      </c>
      <c r="H91" s="18">
        <f>IF(F91="Yes","✅ PAID",IF(A91="","",IF(G91&gt;0,"🔴 KULIKAHIN NA!","🕒 Hindi pa due")))</f>
        <v/>
      </c>
    </row>
    <row r="92">
      <c r="A92" s="20" t="n"/>
      <c r="B92" s="18" t="n"/>
      <c r="C92" s="18" t="n"/>
      <c r="D92" s="19" t="n"/>
      <c r="E92" s="20" t="n"/>
      <c r="F92" s="18" t="n"/>
      <c r="G92" s="18">
        <f>IF(OR(E92="",F92="Yes"),"",MAX(0,TODAY()-E92))</f>
        <v/>
      </c>
      <c r="H92" s="18">
        <f>IF(F92="Yes","✅ PAID",IF(A92="","",IF(G92&gt;0,"🔴 KULIKAHIN NA!","🕒 Hindi pa due")))</f>
        <v/>
      </c>
    </row>
    <row r="93">
      <c r="A93" s="20" t="n"/>
      <c r="B93" s="18" t="n"/>
      <c r="C93" s="18" t="n"/>
      <c r="D93" s="19" t="n"/>
      <c r="E93" s="20" t="n"/>
      <c r="F93" s="18" t="n"/>
      <c r="G93" s="18">
        <f>IF(OR(E93="",F93="Yes"),"",MAX(0,TODAY()-E93))</f>
        <v/>
      </c>
      <c r="H93" s="18">
        <f>IF(F93="Yes","✅ PAID",IF(A93="","",IF(G93&gt;0,"🔴 KULIKAHIN NA!","🕒 Hindi pa due")))</f>
        <v/>
      </c>
    </row>
    <row r="94">
      <c r="A94" s="20" t="n"/>
      <c r="B94" s="18" t="n"/>
      <c r="C94" s="18" t="n"/>
      <c r="D94" s="19" t="n"/>
      <c r="E94" s="20" t="n"/>
      <c r="F94" s="18" t="n"/>
      <c r="G94" s="18">
        <f>IF(OR(E94="",F94="Yes"),"",MAX(0,TODAY()-E94))</f>
        <v/>
      </c>
      <c r="H94" s="18">
        <f>IF(F94="Yes","✅ PAID",IF(A94="","",IF(G94&gt;0,"🔴 KULIKAHIN NA!","🕒 Hindi pa due")))</f>
        <v/>
      </c>
    </row>
    <row r="95">
      <c r="A95" s="20" t="n"/>
      <c r="B95" s="18" t="n"/>
      <c r="C95" s="18" t="n"/>
      <c r="D95" s="19" t="n"/>
      <c r="E95" s="20" t="n"/>
      <c r="F95" s="18" t="n"/>
      <c r="G95" s="18">
        <f>IF(OR(E95="",F95="Yes"),"",MAX(0,TODAY()-E95))</f>
        <v/>
      </c>
      <c r="H95" s="18">
        <f>IF(F95="Yes","✅ PAID",IF(A95="","",IF(G95&gt;0,"🔴 KULIKAHIN NA!","🕒 Hindi pa due")))</f>
        <v/>
      </c>
    </row>
    <row r="96">
      <c r="A96" s="20" t="n"/>
      <c r="B96" s="18" t="n"/>
      <c r="C96" s="18" t="n"/>
      <c r="D96" s="19" t="n"/>
      <c r="E96" s="20" t="n"/>
      <c r="F96" s="18" t="n"/>
      <c r="G96" s="18">
        <f>IF(OR(E96="",F96="Yes"),"",MAX(0,TODAY()-E96))</f>
        <v/>
      </c>
      <c r="H96" s="18">
        <f>IF(F96="Yes","✅ PAID",IF(A96="","",IF(G96&gt;0,"🔴 KULIKAHIN NA!","🕒 Hindi pa due")))</f>
        <v/>
      </c>
    </row>
    <row r="97">
      <c r="A97" s="20" t="n"/>
      <c r="B97" s="18" t="n"/>
      <c r="C97" s="18" t="n"/>
      <c r="D97" s="19" t="n"/>
      <c r="E97" s="20" t="n"/>
      <c r="F97" s="18" t="n"/>
      <c r="G97" s="18">
        <f>IF(OR(E97="",F97="Yes"),"",MAX(0,TODAY()-E97))</f>
        <v/>
      </c>
      <c r="H97" s="18">
        <f>IF(F97="Yes","✅ PAID",IF(A97="","",IF(G97&gt;0,"🔴 KULIKAHIN NA!","🕒 Hindi pa due")))</f>
        <v/>
      </c>
    </row>
    <row r="98">
      <c r="A98" s="20" t="n"/>
      <c r="B98" s="18" t="n"/>
      <c r="C98" s="18" t="n"/>
      <c r="D98" s="19" t="n"/>
      <c r="E98" s="20" t="n"/>
      <c r="F98" s="18" t="n"/>
      <c r="G98" s="18">
        <f>IF(OR(E98="",F98="Yes"),"",MAX(0,TODAY()-E98))</f>
        <v/>
      </c>
      <c r="H98" s="18">
        <f>IF(F98="Yes","✅ PAID",IF(A98="","",IF(G98&gt;0,"🔴 KULIKAHIN NA!","🕒 Hindi pa due")))</f>
        <v/>
      </c>
    </row>
    <row r="99">
      <c r="A99" s="20" t="n"/>
      <c r="B99" s="18" t="n"/>
      <c r="C99" s="18" t="n"/>
      <c r="D99" s="19" t="n"/>
      <c r="E99" s="20" t="n"/>
      <c r="F99" s="18" t="n"/>
      <c r="G99" s="18">
        <f>IF(OR(E99="",F99="Yes"),"",MAX(0,TODAY()-E99))</f>
        <v/>
      </c>
      <c r="H99" s="18">
        <f>IF(F99="Yes","✅ PAID",IF(A99="","",IF(G99&gt;0,"🔴 KULIKAHIN NA!","🕒 Hindi pa due")))</f>
        <v/>
      </c>
    </row>
    <row r="100">
      <c r="A100" s="20" t="n"/>
      <c r="B100" s="18" t="n"/>
      <c r="C100" s="18" t="n"/>
      <c r="D100" s="19" t="n"/>
      <c r="E100" s="20" t="n"/>
      <c r="F100" s="18" t="n"/>
      <c r="G100" s="18">
        <f>IF(OR(E100="",F100="Yes"),"",MAX(0,TODAY()-E100))</f>
        <v/>
      </c>
      <c r="H100" s="18">
        <f>IF(F100="Yes","✅ PAID",IF(A100="","",IF(G100&gt;0,"🔴 KULIKAHIN NA!","🕒 Hindi pa due")))</f>
        <v/>
      </c>
    </row>
    <row r="101">
      <c r="A101" s="20" t="n"/>
      <c r="B101" s="18" t="n"/>
      <c r="C101" s="18" t="n"/>
      <c r="D101" s="19" t="n"/>
      <c r="E101" s="20" t="n"/>
      <c r="F101" s="18" t="n"/>
      <c r="G101" s="18">
        <f>IF(OR(E101="",F101="Yes"),"",MAX(0,TODAY()-E101))</f>
        <v/>
      </c>
      <c r="H101" s="18">
        <f>IF(F101="Yes","✅ PAID",IF(A101="","",IF(G101&gt;0,"🔴 KULIKAHIN NA!","🕒 Hindi pa due")))</f>
        <v/>
      </c>
    </row>
    <row r="102">
      <c r="A102" s="20" t="n"/>
      <c r="B102" s="18" t="n"/>
      <c r="C102" s="18" t="n"/>
      <c r="D102" s="19" t="n"/>
      <c r="E102" s="20" t="n"/>
      <c r="F102" s="18" t="n"/>
      <c r="G102" s="18">
        <f>IF(OR(E102="",F102="Yes"),"",MAX(0,TODAY()-E102))</f>
        <v/>
      </c>
      <c r="H102" s="18">
        <f>IF(F102="Yes","✅ PAID",IF(A102="","",IF(G102&gt;0,"🔴 KULIKAHIN NA!","🕒 Hindi pa due")))</f>
        <v/>
      </c>
    </row>
    <row r="103">
      <c r="A103" s="20" t="n"/>
      <c r="B103" s="18" t="n"/>
      <c r="C103" s="18" t="n"/>
      <c r="D103" s="19" t="n"/>
      <c r="E103" s="20" t="n"/>
      <c r="F103" s="18" t="n"/>
      <c r="G103" s="18">
        <f>IF(OR(E103="",F103="Yes"),"",MAX(0,TODAY()-E103))</f>
        <v/>
      </c>
      <c r="H103" s="18">
        <f>IF(F103="Yes","✅ PAID",IF(A103="","",IF(G103&gt;0,"🔴 KULIKAHIN NA!","🕒 Hindi pa due")))</f>
        <v/>
      </c>
    </row>
    <row r="104">
      <c r="A104" s="20" t="n"/>
      <c r="B104" s="18" t="n"/>
      <c r="C104" s="18" t="n"/>
      <c r="D104" s="19" t="n"/>
      <c r="E104" s="20" t="n"/>
      <c r="F104" s="18" t="n"/>
      <c r="G104" s="18">
        <f>IF(OR(E104="",F104="Yes"),"",MAX(0,TODAY()-E104))</f>
        <v/>
      </c>
      <c r="H104" s="18">
        <f>IF(F104="Yes","✅ PAID",IF(A104="","",IF(G104&gt;0,"🔴 KULIKAHIN NA!","🕒 Hindi pa due")))</f>
        <v/>
      </c>
    </row>
    <row r="105">
      <c r="A105" s="20" t="n"/>
      <c r="B105" s="18" t="n"/>
      <c r="C105" s="18" t="n"/>
      <c r="D105" s="19" t="n"/>
      <c r="E105" s="20" t="n"/>
      <c r="F105" s="18" t="n"/>
      <c r="G105" s="18">
        <f>IF(OR(E105="",F105="Yes"),"",MAX(0,TODAY()-E105))</f>
        <v/>
      </c>
      <c r="H105" s="18">
        <f>IF(F105="Yes","✅ PAID",IF(A105="","",IF(G105&gt;0,"🔴 KULIKAHIN NA!","🕒 Hindi pa due")))</f>
        <v/>
      </c>
    </row>
    <row r="106">
      <c r="A106" s="20" t="n"/>
      <c r="B106" s="18" t="n"/>
      <c r="C106" s="18" t="n"/>
      <c r="D106" s="19" t="n"/>
      <c r="E106" s="20" t="n"/>
      <c r="F106" s="18" t="n"/>
      <c r="G106" s="18">
        <f>IF(OR(E106="",F106="Yes"),"",MAX(0,TODAY()-E106))</f>
        <v/>
      </c>
      <c r="H106" s="18">
        <f>IF(F106="Yes","✅ PAID",IF(A106="","",IF(G106&gt;0,"🔴 KULIKAHIN NA!","🕒 Hindi pa due")))</f>
        <v/>
      </c>
    </row>
    <row r="107">
      <c r="A107" s="20" t="n"/>
      <c r="B107" s="18" t="n"/>
      <c r="C107" s="18" t="n"/>
      <c r="D107" s="19" t="n"/>
      <c r="E107" s="20" t="n"/>
      <c r="F107" s="18" t="n"/>
      <c r="G107" s="18">
        <f>IF(OR(E107="",F107="Yes"),"",MAX(0,TODAY()-E107))</f>
        <v/>
      </c>
      <c r="H107" s="18">
        <f>IF(F107="Yes","✅ PAID",IF(A107="","",IF(G107&gt;0,"🔴 KULIKAHIN NA!","🕒 Hindi pa due")))</f>
        <v/>
      </c>
    </row>
    <row r="108">
      <c r="A108" s="20" t="n"/>
      <c r="B108" s="18" t="n"/>
      <c r="C108" s="18" t="n"/>
      <c r="D108" s="19" t="n"/>
      <c r="E108" s="20" t="n"/>
      <c r="F108" s="18" t="n"/>
      <c r="G108" s="18">
        <f>IF(OR(E108="",F108="Yes"),"",MAX(0,TODAY()-E108))</f>
        <v/>
      </c>
      <c r="H108" s="18">
        <f>IF(F108="Yes","✅ PAID",IF(A108="","",IF(G108&gt;0,"🔴 KULIKAHIN NA!","🕒 Hindi pa due")))</f>
        <v/>
      </c>
    </row>
    <row r="109">
      <c r="A109" s="20" t="n"/>
      <c r="B109" s="18" t="n"/>
      <c r="C109" s="18" t="n"/>
      <c r="D109" s="19" t="n"/>
      <c r="E109" s="20" t="n"/>
      <c r="F109" s="18" t="n"/>
      <c r="G109" s="18">
        <f>IF(OR(E109="",F109="Yes"),"",MAX(0,TODAY()-E109))</f>
        <v/>
      </c>
      <c r="H109" s="18">
        <f>IF(F109="Yes","✅ PAID",IF(A109="","",IF(G109&gt;0,"🔴 KULIKAHIN NA!","🕒 Hindi pa due")))</f>
        <v/>
      </c>
    </row>
    <row r="110">
      <c r="A110" s="20" t="n"/>
      <c r="B110" s="18" t="n"/>
      <c r="C110" s="18" t="n"/>
      <c r="D110" s="19" t="n"/>
      <c r="E110" s="20" t="n"/>
      <c r="F110" s="18" t="n"/>
      <c r="G110" s="18">
        <f>IF(OR(E110="",F110="Yes"),"",MAX(0,TODAY()-E110))</f>
        <v/>
      </c>
      <c r="H110" s="18">
        <f>IF(F110="Yes","✅ PAID",IF(A110="","",IF(G110&gt;0,"🔴 KULIKAHIN NA!","🕒 Hindi pa due")))</f>
        <v/>
      </c>
    </row>
    <row r="111">
      <c r="A111" s="20" t="n"/>
      <c r="B111" s="18" t="n"/>
      <c r="C111" s="18" t="n"/>
      <c r="D111" s="19" t="n"/>
      <c r="E111" s="20" t="n"/>
      <c r="F111" s="18" t="n"/>
      <c r="G111" s="18">
        <f>IF(OR(E111="",F111="Yes"),"",MAX(0,TODAY()-E111))</f>
        <v/>
      </c>
      <c r="H111" s="18">
        <f>IF(F111="Yes","✅ PAID",IF(A111="","",IF(G111&gt;0,"🔴 KULIKAHIN NA!","🕒 Hindi pa due")))</f>
        <v/>
      </c>
    </row>
    <row r="112">
      <c r="A112" s="20" t="n"/>
      <c r="B112" s="18" t="n"/>
      <c r="C112" s="18" t="n"/>
      <c r="D112" s="19" t="n"/>
      <c r="E112" s="20" t="n"/>
      <c r="F112" s="18" t="n"/>
      <c r="G112" s="18">
        <f>IF(OR(E112="",F112="Yes"),"",MAX(0,TODAY()-E112))</f>
        <v/>
      </c>
      <c r="H112" s="18">
        <f>IF(F112="Yes","✅ PAID",IF(A112="","",IF(G112&gt;0,"🔴 KULIKAHIN NA!","🕒 Hindi pa due")))</f>
        <v/>
      </c>
    </row>
    <row r="113">
      <c r="A113" s="20" t="n"/>
      <c r="B113" s="18" t="n"/>
      <c r="C113" s="18" t="n"/>
      <c r="D113" s="19" t="n"/>
      <c r="E113" s="20" t="n"/>
      <c r="F113" s="18" t="n"/>
      <c r="G113" s="18">
        <f>IF(OR(E113="",F113="Yes"),"",MAX(0,TODAY()-E113))</f>
        <v/>
      </c>
      <c r="H113" s="18">
        <f>IF(F113="Yes","✅ PAID",IF(A113="","",IF(G113&gt;0,"🔴 KULIKAHIN NA!","🕒 Hindi pa due")))</f>
        <v/>
      </c>
    </row>
    <row r="114">
      <c r="A114" s="20" t="n"/>
      <c r="B114" s="18" t="n"/>
      <c r="C114" s="18" t="n"/>
      <c r="D114" s="19" t="n"/>
      <c r="E114" s="20" t="n"/>
      <c r="F114" s="18" t="n"/>
      <c r="G114" s="18">
        <f>IF(OR(E114="",F114="Yes"),"",MAX(0,TODAY()-E114))</f>
        <v/>
      </c>
      <c r="H114" s="18">
        <f>IF(F114="Yes","✅ PAID",IF(A114="","",IF(G114&gt;0,"🔴 KULIKAHIN NA!","🕒 Hindi pa due")))</f>
        <v/>
      </c>
    </row>
    <row r="115">
      <c r="A115" s="20" t="n"/>
      <c r="B115" s="18" t="n"/>
      <c r="C115" s="18" t="n"/>
      <c r="D115" s="19" t="n"/>
      <c r="E115" s="20" t="n"/>
      <c r="F115" s="18" t="n"/>
      <c r="G115" s="18">
        <f>IF(OR(E115="",F115="Yes"),"",MAX(0,TODAY()-E115))</f>
        <v/>
      </c>
      <c r="H115" s="18">
        <f>IF(F115="Yes","✅ PAID",IF(A115="","",IF(G115&gt;0,"🔴 KULIKAHIN NA!","🕒 Hindi pa due")))</f>
        <v/>
      </c>
    </row>
    <row r="116">
      <c r="A116" s="20" t="n"/>
      <c r="B116" s="18" t="n"/>
      <c r="C116" s="18" t="n"/>
      <c r="D116" s="19" t="n"/>
      <c r="E116" s="20" t="n"/>
      <c r="F116" s="18" t="n"/>
      <c r="G116" s="18">
        <f>IF(OR(E116="",F116="Yes"),"",MAX(0,TODAY()-E116))</f>
        <v/>
      </c>
      <c r="H116" s="18">
        <f>IF(F116="Yes","✅ PAID",IF(A116="","",IF(G116&gt;0,"🔴 KULIKAHIN NA!","🕒 Hindi pa due")))</f>
        <v/>
      </c>
    </row>
    <row r="117">
      <c r="A117" s="20" t="n"/>
      <c r="B117" s="18" t="n"/>
      <c r="C117" s="18" t="n"/>
      <c r="D117" s="19" t="n"/>
      <c r="E117" s="20" t="n"/>
      <c r="F117" s="18" t="n"/>
      <c r="G117" s="18">
        <f>IF(OR(E117="",F117="Yes"),"",MAX(0,TODAY()-E117))</f>
        <v/>
      </c>
      <c r="H117" s="18">
        <f>IF(F117="Yes","✅ PAID",IF(A117="","",IF(G117&gt;0,"🔴 KULIKAHIN NA!","🕒 Hindi pa due")))</f>
        <v/>
      </c>
    </row>
    <row r="118">
      <c r="A118" s="20" t="n"/>
      <c r="B118" s="18" t="n"/>
      <c r="C118" s="18" t="n"/>
      <c r="D118" s="19" t="n"/>
      <c r="E118" s="20" t="n"/>
      <c r="F118" s="18" t="n"/>
      <c r="G118" s="18">
        <f>IF(OR(E118="",F118="Yes"),"",MAX(0,TODAY()-E118))</f>
        <v/>
      </c>
      <c r="H118" s="18">
        <f>IF(F118="Yes","✅ PAID",IF(A118="","",IF(G118&gt;0,"🔴 KULIKAHIN NA!","🕒 Hindi pa due")))</f>
        <v/>
      </c>
    </row>
    <row r="119">
      <c r="A119" s="20" t="n"/>
      <c r="B119" s="18" t="n"/>
      <c r="C119" s="18" t="n"/>
      <c r="D119" s="19" t="n"/>
      <c r="E119" s="20" t="n"/>
      <c r="F119" s="18" t="n"/>
      <c r="G119" s="18">
        <f>IF(OR(E119="",F119="Yes"),"",MAX(0,TODAY()-E119))</f>
        <v/>
      </c>
      <c r="H119" s="18">
        <f>IF(F119="Yes","✅ PAID",IF(A119="","",IF(G119&gt;0,"🔴 KULIKAHIN NA!","🕒 Hindi pa due")))</f>
        <v/>
      </c>
    </row>
    <row r="120">
      <c r="A120" s="20" t="n"/>
      <c r="B120" s="18" t="n"/>
      <c r="C120" s="18" t="n"/>
      <c r="D120" s="19" t="n"/>
      <c r="E120" s="20" t="n"/>
      <c r="F120" s="18" t="n"/>
      <c r="G120" s="18">
        <f>IF(OR(E120="",F120="Yes"),"",MAX(0,TODAY()-E120))</f>
        <v/>
      </c>
      <c r="H120" s="18">
        <f>IF(F120="Yes","✅ PAID",IF(A120="","",IF(G120&gt;0,"🔴 KULIKAHIN NA!","🕒 Hindi pa due")))</f>
        <v/>
      </c>
    </row>
    <row r="121">
      <c r="A121" s="20" t="n"/>
      <c r="B121" s="18" t="n"/>
      <c r="C121" s="18" t="n"/>
      <c r="D121" s="19" t="n"/>
      <c r="E121" s="20" t="n"/>
      <c r="F121" s="18" t="n"/>
      <c r="G121" s="18">
        <f>IF(OR(E121="",F121="Yes"),"",MAX(0,TODAY()-E121))</f>
        <v/>
      </c>
      <c r="H121" s="18">
        <f>IF(F121="Yes","✅ PAID",IF(A121="","",IF(G121&gt;0,"🔴 KULIKAHIN NA!","🕒 Hindi pa due")))</f>
        <v/>
      </c>
    </row>
    <row r="122">
      <c r="A122" s="20" t="n"/>
      <c r="B122" s="18" t="n"/>
      <c r="C122" s="18" t="n"/>
      <c r="D122" s="19" t="n"/>
      <c r="E122" s="20" t="n"/>
      <c r="F122" s="18" t="n"/>
      <c r="G122" s="18">
        <f>IF(OR(E122="",F122="Yes"),"",MAX(0,TODAY()-E122))</f>
        <v/>
      </c>
      <c r="H122" s="18">
        <f>IF(F122="Yes","✅ PAID",IF(A122="","",IF(G122&gt;0,"🔴 KULIKAHIN NA!","🕒 Hindi pa due")))</f>
        <v/>
      </c>
    </row>
    <row r="123">
      <c r="A123" s="20" t="n"/>
      <c r="B123" s="18" t="n"/>
      <c r="C123" s="18" t="n"/>
      <c r="D123" s="19" t="n"/>
      <c r="E123" s="20" t="n"/>
      <c r="F123" s="18" t="n"/>
      <c r="G123" s="18">
        <f>IF(OR(E123="",F123="Yes"),"",MAX(0,TODAY()-E123))</f>
        <v/>
      </c>
      <c r="H123" s="18">
        <f>IF(F123="Yes","✅ PAID",IF(A123="","",IF(G123&gt;0,"🔴 KULIKAHIN NA!","🕒 Hindi pa due")))</f>
        <v/>
      </c>
    </row>
    <row r="124">
      <c r="A124" s="20" t="n"/>
      <c r="B124" s="18" t="n"/>
      <c r="C124" s="18" t="n"/>
      <c r="D124" s="19" t="n"/>
      <c r="E124" s="20" t="n"/>
      <c r="F124" s="18" t="n"/>
      <c r="G124" s="18">
        <f>IF(OR(E124="",F124="Yes"),"",MAX(0,TODAY()-E124))</f>
        <v/>
      </c>
      <c r="H124" s="18">
        <f>IF(F124="Yes","✅ PAID",IF(A124="","",IF(G124&gt;0,"🔴 KULIKAHIN NA!","🕒 Hindi pa due")))</f>
        <v/>
      </c>
    </row>
    <row r="125">
      <c r="A125" s="20" t="n"/>
      <c r="B125" s="18" t="n"/>
      <c r="C125" s="18" t="n"/>
      <c r="D125" s="19" t="n"/>
      <c r="E125" s="20" t="n"/>
      <c r="F125" s="18" t="n"/>
      <c r="G125" s="18">
        <f>IF(OR(E125="",F125="Yes"),"",MAX(0,TODAY()-E125))</f>
        <v/>
      </c>
      <c r="H125" s="18">
        <f>IF(F125="Yes","✅ PAID",IF(A125="","",IF(G125&gt;0,"🔴 KULIKAHIN NA!","🕒 Hindi pa due")))</f>
        <v/>
      </c>
    </row>
    <row r="126">
      <c r="A126" s="20" t="n"/>
      <c r="B126" s="18" t="n"/>
      <c r="C126" s="18" t="n"/>
      <c r="D126" s="19" t="n"/>
      <c r="E126" s="20" t="n"/>
      <c r="F126" s="18" t="n"/>
      <c r="G126" s="18">
        <f>IF(OR(E126="",F126="Yes"),"",MAX(0,TODAY()-E126))</f>
        <v/>
      </c>
      <c r="H126" s="18">
        <f>IF(F126="Yes","✅ PAID",IF(A126="","",IF(G126&gt;0,"🔴 KULIKAHIN NA!","🕒 Hindi pa due")))</f>
        <v/>
      </c>
    </row>
    <row r="127">
      <c r="A127" s="20" t="n"/>
      <c r="B127" s="18" t="n"/>
      <c r="C127" s="18" t="n"/>
      <c r="D127" s="19" t="n"/>
      <c r="E127" s="20" t="n"/>
      <c r="F127" s="18" t="n"/>
      <c r="G127" s="18">
        <f>IF(OR(E127="",F127="Yes"),"",MAX(0,TODAY()-E127))</f>
        <v/>
      </c>
      <c r="H127" s="18">
        <f>IF(F127="Yes","✅ PAID",IF(A127="","",IF(G127&gt;0,"🔴 KULIKAHIN NA!","🕒 Hindi pa due")))</f>
        <v/>
      </c>
    </row>
    <row r="128">
      <c r="A128" s="20" t="n"/>
      <c r="B128" s="18" t="n"/>
      <c r="C128" s="18" t="n"/>
      <c r="D128" s="19" t="n"/>
      <c r="E128" s="20" t="n"/>
      <c r="F128" s="18" t="n"/>
      <c r="G128" s="18">
        <f>IF(OR(E128="",F128="Yes"),"",MAX(0,TODAY()-E128))</f>
        <v/>
      </c>
      <c r="H128" s="18">
        <f>IF(F128="Yes","✅ PAID",IF(A128="","",IF(G128&gt;0,"🔴 KULIKAHIN NA!","🕒 Hindi pa due")))</f>
        <v/>
      </c>
    </row>
    <row r="129">
      <c r="A129" s="20" t="n"/>
      <c r="B129" s="18" t="n"/>
      <c r="C129" s="18" t="n"/>
      <c r="D129" s="19" t="n"/>
      <c r="E129" s="20" t="n"/>
      <c r="F129" s="18" t="n"/>
      <c r="G129" s="18">
        <f>IF(OR(E129="",F129="Yes"),"",MAX(0,TODAY()-E129))</f>
        <v/>
      </c>
      <c r="H129" s="18">
        <f>IF(F129="Yes","✅ PAID",IF(A129="","",IF(G129&gt;0,"🔴 KULIKAHIN NA!","🕒 Hindi pa due")))</f>
        <v/>
      </c>
    </row>
    <row r="130">
      <c r="A130" s="20" t="n"/>
      <c r="B130" s="18" t="n"/>
      <c r="C130" s="18" t="n"/>
      <c r="D130" s="19" t="n"/>
      <c r="E130" s="20" t="n"/>
      <c r="F130" s="18" t="n"/>
      <c r="G130" s="18">
        <f>IF(OR(E130="",F130="Yes"),"",MAX(0,TODAY()-E130))</f>
        <v/>
      </c>
      <c r="H130" s="18">
        <f>IF(F130="Yes","✅ PAID",IF(A130="","",IF(G130&gt;0,"🔴 KULIKAHIN NA!","🕒 Hindi pa due")))</f>
        <v/>
      </c>
    </row>
    <row r="131">
      <c r="A131" s="20" t="n"/>
      <c r="B131" s="18" t="n"/>
      <c r="C131" s="18" t="n"/>
      <c r="D131" s="19" t="n"/>
      <c r="E131" s="20" t="n"/>
      <c r="F131" s="18" t="n"/>
      <c r="G131" s="18">
        <f>IF(OR(E131="",F131="Yes"),"",MAX(0,TODAY()-E131))</f>
        <v/>
      </c>
      <c r="H131" s="18">
        <f>IF(F131="Yes","✅ PAID",IF(A131="","",IF(G131&gt;0,"🔴 KULIKAHIN NA!","🕒 Hindi pa due")))</f>
        <v/>
      </c>
    </row>
    <row r="132">
      <c r="A132" s="20" t="n"/>
      <c r="B132" s="18" t="n"/>
      <c r="C132" s="18" t="n"/>
      <c r="D132" s="19" t="n"/>
      <c r="E132" s="20" t="n"/>
      <c r="F132" s="18" t="n"/>
      <c r="G132" s="18">
        <f>IF(OR(E132="",F132="Yes"),"",MAX(0,TODAY()-E132))</f>
        <v/>
      </c>
      <c r="H132" s="18">
        <f>IF(F132="Yes","✅ PAID",IF(A132="","",IF(G132&gt;0,"🔴 KULIKAHIN NA!","🕒 Hindi pa due")))</f>
        <v/>
      </c>
    </row>
    <row r="133">
      <c r="A133" s="20" t="n"/>
      <c r="B133" s="18" t="n"/>
      <c r="C133" s="18" t="n"/>
      <c r="D133" s="19" t="n"/>
      <c r="E133" s="20" t="n"/>
      <c r="F133" s="18" t="n"/>
      <c r="G133" s="18">
        <f>IF(OR(E133="",F133="Yes"),"",MAX(0,TODAY()-E133))</f>
        <v/>
      </c>
      <c r="H133" s="18">
        <f>IF(F133="Yes","✅ PAID",IF(A133="","",IF(G133&gt;0,"🔴 KULIKAHIN NA!","🕒 Hindi pa due")))</f>
        <v/>
      </c>
    </row>
    <row r="134">
      <c r="A134" s="20" t="n"/>
      <c r="B134" s="18" t="n"/>
      <c r="C134" s="18" t="n"/>
      <c r="D134" s="19" t="n"/>
      <c r="E134" s="20" t="n"/>
      <c r="F134" s="18" t="n"/>
      <c r="G134" s="18">
        <f>IF(OR(E134="",F134="Yes"),"",MAX(0,TODAY()-E134))</f>
        <v/>
      </c>
      <c r="H134" s="18">
        <f>IF(F134="Yes","✅ PAID",IF(A134="","",IF(G134&gt;0,"🔴 KULIKAHIN NA!","🕒 Hindi pa due")))</f>
        <v/>
      </c>
    </row>
    <row r="135">
      <c r="A135" s="20" t="n"/>
      <c r="B135" s="18" t="n"/>
      <c r="C135" s="18" t="n"/>
      <c r="D135" s="19" t="n"/>
      <c r="E135" s="20" t="n"/>
      <c r="F135" s="18" t="n"/>
      <c r="G135" s="18">
        <f>IF(OR(E135="",F135="Yes"),"",MAX(0,TODAY()-E135))</f>
        <v/>
      </c>
      <c r="H135" s="18">
        <f>IF(F135="Yes","✅ PAID",IF(A135="","",IF(G135&gt;0,"🔴 KULIKAHIN NA!","🕒 Hindi pa due")))</f>
        <v/>
      </c>
    </row>
    <row r="136">
      <c r="A136" s="20" t="n"/>
      <c r="B136" s="18" t="n"/>
      <c r="C136" s="18" t="n"/>
      <c r="D136" s="19" t="n"/>
      <c r="E136" s="20" t="n"/>
      <c r="F136" s="18" t="n"/>
      <c r="G136" s="18">
        <f>IF(OR(E136="",F136="Yes"),"",MAX(0,TODAY()-E136))</f>
        <v/>
      </c>
      <c r="H136" s="18">
        <f>IF(F136="Yes","✅ PAID",IF(A136="","",IF(G136&gt;0,"🔴 KULIKAHIN NA!","🕒 Hindi pa due")))</f>
        <v/>
      </c>
    </row>
    <row r="137">
      <c r="A137" s="20" t="n"/>
      <c r="B137" s="18" t="n"/>
      <c r="C137" s="18" t="n"/>
      <c r="D137" s="19" t="n"/>
      <c r="E137" s="20" t="n"/>
      <c r="F137" s="18" t="n"/>
      <c r="G137" s="18">
        <f>IF(OR(E137="",F137="Yes"),"",MAX(0,TODAY()-E137))</f>
        <v/>
      </c>
      <c r="H137" s="18">
        <f>IF(F137="Yes","✅ PAID",IF(A137="","",IF(G137&gt;0,"🔴 KULIKAHIN NA!","🕒 Hindi pa due")))</f>
        <v/>
      </c>
    </row>
    <row r="138">
      <c r="A138" s="20" t="n"/>
      <c r="B138" s="18" t="n"/>
      <c r="C138" s="18" t="n"/>
      <c r="D138" s="19" t="n"/>
      <c r="E138" s="20" t="n"/>
      <c r="F138" s="18" t="n"/>
      <c r="G138" s="18">
        <f>IF(OR(E138="",F138="Yes"),"",MAX(0,TODAY()-E138))</f>
        <v/>
      </c>
      <c r="H138" s="18">
        <f>IF(F138="Yes","✅ PAID",IF(A138="","",IF(G138&gt;0,"🔴 KULIKAHIN NA!","🕒 Hindi pa due")))</f>
        <v/>
      </c>
    </row>
    <row r="139">
      <c r="A139" s="20" t="n"/>
      <c r="B139" s="18" t="n"/>
      <c r="C139" s="18" t="n"/>
      <c r="D139" s="19" t="n"/>
      <c r="E139" s="20" t="n"/>
      <c r="F139" s="18" t="n"/>
      <c r="G139" s="18">
        <f>IF(OR(E139="",F139="Yes"),"",MAX(0,TODAY()-E139))</f>
        <v/>
      </c>
      <c r="H139" s="18">
        <f>IF(F139="Yes","✅ PAID",IF(A139="","",IF(G139&gt;0,"🔴 KULIKAHIN NA!","🕒 Hindi pa due")))</f>
        <v/>
      </c>
    </row>
    <row r="140">
      <c r="A140" s="20" t="n"/>
      <c r="B140" s="18" t="n"/>
      <c r="C140" s="18" t="n"/>
      <c r="D140" s="19" t="n"/>
      <c r="E140" s="20" t="n"/>
      <c r="F140" s="18" t="n"/>
      <c r="G140" s="18">
        <f>IF(OR(E140="",F140="Yes"),"",MAX(0,TODAY()-E140))</f>
        <v/>
      </c>
      <c r="H140" s="18">
        <f>IF(F140="Yes","✅ PAID",IF(A140="","",IF(G140&gt;0,"🔴 KULIKAHIN NA!","🕒 Hindi pa due")))</f>
        <v/>
      </c>
    </row>
    <row r="141">
      <c r="A141" s="20" t="n"/>
      <c r="B141" s="18" t="n"/>
      <c r="C141" s="18" t="n"/>
      <c r="D141" s="19" t="n"/>
      <c r="E141" s="20" t="n"/>
      <c r="F141" s="18" t="n"/>
      <c r="G141" s="18">
        <f>IF(OR(E141="",F141="Yes"),"",MAX(0,TODAY()-E141))</f>
        <v/>
      </c>
      <c r="H141" s="18">
        <f>IF(F141="Yes","✅ PAID",IF(A141="","",IF(G141&gt;0,"🔴 KULIKAHIN NA!","🕒 Hindi pa due")))</f>
        <v/>
      </c>
    </row>
    <row r="142">
      <c r="A142" s="20" t="n"/>
      <c r="B142" s="18" t="n"/>
      <c r="C142" s="18" t="n"/>
      <c r="D142" s="19" t="n"/>
      <c r="E142" s="20" t="n"/>
      <c r="F142" s="18" t="n"/>
      <c r="G142" s="18">
        <f>IF(OR(E142="",F142="Yes"),"",MAX(0,TODAY()-E142))</f>
        <v/>
      </c>
      <c r="H142" s="18">
        <f>IF(F142="Yes","✅ PAID",IF(A142="","",IF(G142&gt;0,"🔴 KULIKAHIN NA!","🕒 Hindi pa due")))</f>
        <v/>
      </c>
    </row>
    <row r="143">
      <c r="A143" s="20" t="n"/>
      <c r="B143" s="18" t="n"/>
      <c r="C143" s="18" t="n"/>
      <c r="D143" s="19" t="n"/>
      <c r="E143" s="20" t="n"/>
      <c r="F143" s="18" t="n"/>
      <c r="G143" s="18">
        <f>IF(OR(E143="",F143="Yes"),"",MAX(0,TODAY()-E143))</f>
        <v/>
      </c>
      <c r="H143" s="18">
        <f>IF(F143="Yes","✅ PAID",IF(A143="","",IF(G143&gt;0,"🔴 KULIKAHIN NA!","🕒 Hindi pa due")))</f>
        <v/>
      </c>
    </row>
    <row r="144">
      <c r="A144" s="20" t="n"/>
      <c r="B144" s="18" t="n"/>
      <c r="C144" s="18" t="n"/>
      <c r="D144" s="19" t="n"/>
      <c r="E144" s="20" t="n"/>
      <c r="F144" s="18" t="n"/>
      <c r="G144" s="18">
        <f>IF(OR(E144="",F144="Yes"),"",MAX(0,TODAY()-E144))</f>
        <v/>
      </c>
      <c r="H144" s="18">
        <f>IF(F144="Yes","✅ PAID",IF(A144="","",IF(G144&gt;0,"🔴 KULIKAHIN NA!","🕒 Hindi pa due")))</f>
        <v/>
      </c>
    </row>
    <row r="145">
      <c r="A145" s="20" t="n"/>
      <c r="B145" s="18" t="n"/>
      <c r="C145" s="18" t="n"/>
      <c r="D145" s="19" t="n"/>
      <c r="E145" s="20" t="n"/>
      <c r="F145" s="18" t="n"/>
      <c r="G145" s="18">
        <f>IF(OR(E145="",F145="Yes"),"",MAX(0,TODAY()-E145))</f>
        <v/>
      </c>
      <c r="H145" s="18">
        <f>IF(F145="Yes","✅ PAID",IF(A145="","",IF(G145&gt;0,"🔴 KULIKAHIN NA!","🕒 Hindi pa due")))</f>
        <v/>
      </c>
    </row>
    <row r="146">
      <c r="A146" s="20" t="n"/>
      <c r="B146" s="18" t="n"/>
      <c r="C146" s="18" t="n"/>
      <c r="D146" s="19" t="n"/>
      <c r="E146" s="20" t="n"/>
      <c r="F146" s="18" t="n"/>
      <c r="G146" s="18">
        <f>IF(OR(E146="",F146="Yes"),"",MAX(0,TODAY()-E146))</f>
        <v/>
      </c>
      <c r="H146" s="18">
        <f>IF(F146="Yes","✅ PAID",IF(A146="","",IF(G146&gt;0,"🔴 KULIKAHIN NA!","🕒 Hindi pa due")))</f>
        <v/>
      </c>
    </row>
    <row r="147">
      <c r="A147" s="20" t="n"/>
      <c r="B147" s="18" t="n"/>
      <c r="C147" s="18" t="n"/>
      <c r="D147" s="19" t="n"/>
      <c r="E147" s="20" t="n"/>
      <c r="F147" s="18" t="n"/>
      <c r="G147" s="18">
        <f>IF(OR(E147="",F147="Yes"),"",MAX(0,TODAY()-E147))</f>
        <v/>
      </c>
      <c r="H147" s="18">
        <f>IF(F147="Yes","✅ PAID",IF(A147="","",IF(G147&gt;0,"🔴 KULIKAHIN NA!","🕒 Hindi pa due")))</f>
        <v/>
      </c>
    </row>
    <row r="148">
      <c r="A148" s="20" t="n"/>
      <c r="B148" s="18" t="n"/>
      <c r="C148" s="18" t="n"/>
      <c r="D148" s="19" t="n"/>
      <c r="E148" s="20" t="n"/>
      <c r="F148" s="18" t="n"/>
      <c r="G148" s="18">
        <f>IF(OR(E148="",F148="Yes"),"",MAX(0,TODAY()-E148))</f>
        <v/>
      </c>
      <c r="H148" s="18">
        <f>IF(F148="Yes","✅ PAID",IF(A148="","",IF(G148&gt;0,"🔴 KULIKAHIN NA!","🕒 Hindi pa due")))</f>
        <v/>
      </c>
    </row>
    <row r="149">
      <c r="A149" s="20" t="n"/>
      <c r="B149" s="18" t="n"/>
      <c r="C149" s="18" t="n"/>
      <c r="D149" s="19" t="n"/>
      <c r="E149" s="20" t="n"/>
      <c r="F149" s="18" t="n"/>
      <c r="G149" s="18">
        <f>IF(OR(E149="",F149="Yes"),"",MAX(0,TODAY()-E149))</f>
        <v/>
      </c>
      <c r="H149" s="18">
        <f>IF(F149="Yes","✅ PAID",IF(A149="","",IF(G149&gt;0,"🔴 KULIKAHIN NA!","🕒 Hindi pa due")))</f>
        <v/>
      </c>
    </row>
    <row r="150">
      <c r="A150" s="20" t="n"/>
      <c r="B150" s="18" t="n"/>
      <c r="C150" s="18" t="n"/>
      <c r="D150" s="19" t="n"/>
      <c r="E150" s="20" t="n"/>
      <c r="F150" s="18" t="n"/>
      <c r="G150" s="18">
        <f>IF(OR(E150="",F150="Yes"),"",MAX(0,TODAY()-E150))</f>
        <v/>
      </c>
      <c r="H150" s="18">
        <f>IF(F150="Yes","✅ PAID",IF(A150="","",IF(G150&gt;0,"🔴 KULIKAHIN NA!","🕒 Hindi pa due")))</f>
        <v/>
      </c>
    </row>
    <row r="151">
      <c r="A151" s="20" t="n"/>
      <c r="B151" s="18" t="n"/>
      <c r="C151" s="18" t="n"/>
      <c r="D151" s="19" t="n"/>
      <c r="E151" s="20" t="n"/>
      <c r="F151" s="18" t="n"/>
      <c r="G151" s="18">
        <f>IF(OR(E151="",F151="Yes"),"",MAX(0,TODAY()-E151))</f>
        <v/>
      </c>
      <c r="H151" s="18">
        <f>IF(F151="Yes","✅ PAID",IF(A151="","",IF(G151&gt;0,"🔴 KULIKAHIN NA!","🕒 Hindi pa due")))</f>
        <v/>
      </c>
    </row>
    <row r="152">
      <c r="A152" s="20" t="n"/>
      <c r="B152" s="18" t="n"/>
      <c r="C152" s="18" t="n"/>
      <c r="D152" s="19" t="n"/>
      <c r="E152" s="20" t="n"/>
      <c r="F152" s="18" t="n"/>
      <c r="G152" s="18">
        <f>IF(OR(E152="",F152="Yes"),"",MAX(0,TODAY()-E152))</f>
        <v/>
      </c>
      <c r="H152" s="18">
        <f>IF(F152="Yes","✅ PAID",IF(A152="","",IF(G152&gt;0,"🔴 KULIKAHIN NA!","🕒 Hindi pa due")))</f>
        <v/>
      </c>
    </row>
    <row r="153">
      <c r="A153" s="20" t="n"/>
      <c r="B153" s="18" t="n"/>
      <c r="C153" s="18" t="n"/>
      <c r="D153" s="19" t="n"/>
      <c r="E153" s="20" t="n"/>
      <c r="F153" s="18" t="n"/>
      <c r="G153" s="18">
        <f>IF(OR(E153="",F153="Yes"),"",MAX(0,TODAY()-E153))</f>
        <v/>
      </c>
      <c r="H153" s="18">
        <f>IF(F153="Yes","✅ PAID",IF(A153="","",IF(G153&gt;0,"🔴 KULIKAHIN NA!","🕒 Hindi pa due")))</f>
        <v/>
      </c>
    </row>
    <row r="154">
      <c r="A154" s="20" t="n"/>
      <c r="B154" s="18" t="n"/>
      <c r="C154" s="18" t="n"/>
      <c r="D154" s="19" t="n"/>
      <c r="E154" s="20" t="n"/>
      <c r="F154" s="18" t="n"/>
      <c r="G154" s="18">
        <f>IF(OR(E154="",F154="Yes"),"",MAX(0,TODAY()-E154))</f>
        <v/>
      </c>
      <c r="H154" s="18">
        <f>IF(F154="Yes","✅ PAID",IF(A154="","",IF(G154&gt;0,"🔴 KULIKAHIN NA!","🕒 Hindi pa due")))</f>
        <v/>
      </c>
    </row>
    <row r="155">
      <c r="A155" s="20" t="n"/>
      <c r="B155" s="18" t="n"/>
      <c r="C155" s="18" t="n"/>
      <c r="D155" s="19" t="n"/>
      <c r="E155" s="20" t="n"/>
      <c r="F155" s="18" t="n"/>
      <c r="G155" s="18">
        <f>IF(OR(E155="",F155="Yes"),"",MAX(0,TODAY()-E155))</f>
        <v/>
      </c>
      <c r="H155" s="18">
        <f>IF(F155="Yes","✅ PAID",IF(A155="","",IF(G155&gt;0,"🔴 KULIKAHIN NA!","🕒 Hindi pa due")))</f>
        <v/>
      </c>
    </row>
    <row r="156">
      <c r="A156" s="20" t="n"/>
      <c r="B156" s="18" t="n"/>
      <c r="C156" s="18" t="n"/>
      <c r="D156" s="19" t="n"/>
      <c r="E156" s="20" t="n"/>
      <c r="F156" s="18" t="n"/>
      <c r="G156" s="18">
        <f>IF(OR(E156="",F156="Yes"),"",MAX(0,TODAY()-E156))</f>
        <v/>
      </c>
      <c r="H156" s="18">
        <f>IF(F156="Yes","✅ PAID",IF(A156="","",IF(G156&gt;0,"🔴 KULIKAHIN NA!","🕒 Hindi pa due")))</f>
        <v/>
      </c>
    </row>
    <row r="157">
      <c r="A157" s="20" t="n"/>
      <c r="B157" s="18" t="n"/>
      <c r="C157" s="18" t="n"/>
      <c r="D157" s="19" t="n"/>
      <c r="E157" s="20" t="n"/>
      <c r="F157" s="18" t="n"/>
      <c r="G157" s="18">
        <f>IF(OR(E157="",F157="Yes"),"",MAX(0,TODAY()-E157))</f>
        <v/>
      </c>
      <c r="H157" s="18">
        <f>IF(F157="Yes","✅ PAID",IF(A157="","",IF(G157&gt;0,"🔴 KULIKAHIN NA!","🕒 Hindi pa due")))</f>
        <v/>
      </c>
    </row>
    <row r="158">
      <c r="A158" s="20" t="n"/>
      <c r="B158" s="18" t="n"/>
      <c r="C158" s="18" t="n"/>
      <c r="D158" s="19" t="n"/>
      <c r="E158" s="20" t="n"/>
      <c r="F158" s="18" t="n"/>
      <c r="G158" s="18">
        <f>IF(OR(E158="",F158="Yes"),"",MAX(0,TODAY()-E158))</f>
        <v/>
      </c>
      <c r="H158" s="18">
        <f>IF(F158="Yes","✅ PAID",IF(A158="","",IF(G158&gt;0,"🔴 KULIKAHIN NA!","🕒 Hindi pa due")))</f>
        <v/>
      </c>
    </row>
    <row r="159">
      <c r="A159" s="20" t="n"/>
      <c r="B159" s="18" t="n"/>
      <c r="C159" s="18" t="n"/>
      <c r="D159" s="19" t="n"/>
      <c r="E159" s="20" t="n"/>
      <c r="F159" s="18" t="n"/>
      <c r="G159" s="18">
        <f>IF(OR(E159="",F159="Yes"),"",MAX(0,TODAY()-E159))</f>
        <v/>
      </c>
      <c r="H159" s="18">
        <f>IF(F159="Yes","✅ PAID",IF(A159="","",IF(G159&gt;0,"🔴 KULIKAHIN NA!","🕒 Hindi pa due")))</f>
        <v/>
      </c>
    </row>
    <row r="160">
      <c r="A160" s="20" t="n"/>
      <c r="B160" s="18" t="n"/>
      <c r="C160" s="18" t="n"/>
      <c r="D160" s="19" t="n"/>
      <c r="E160" s="20" t="n"/>
      <c r="F160" s="18" t="n"/>
      <c r="G160" s="18">
        <f>IF(OR(E160="",F160="Yes"),"",MAX(0,TODAY()-E160))</f>
        <v/>
      </c>
      <c r="H160" s="18">
        <f>IF(F160="Yes","✅ PAID",IF(A160="","",IF(G160&gt;0,"🔴 KULIKAHIN NA!","🕒 Hindi pa due")))</f>
        <v/>
      </c>
    </row>
    <row r="161">
      <c r="A161" s="20" t="n"/>
      <c r="B161" s="18" t="n"/>
      <c r="C161" s="18" t="n"/>
      <c r="D161" s="19" t="n"/>
      <c r="E161" s="20" t="n"/>
      <c r="F161" s="18" t="n"/>
      <c r="G161" s="18">
        <f>IF(OR(E161="",F161="Yes"),"",MAX(0,TODAY()-E161))</f>
        <v/>
      </c>
      <c r="H161" s="18">
        <f>IF(F161="Yes","✅ PAID",IF(A161="","",IF(G161&gt;0,"🔴 KULIKAHIN NA!","🕒 Hindi pa due")))</f>
        <v/>
      </c>
    </row>
    <row r="162">
      <c r="A162" s="20" t="n"/>
      <c r="B162" s="18" t="n"/>
      <c r="C162" s="18" t="n"/>
      <c r="D162" s="19" t="n"/>
      <c r="E162" s="20" t="n"/>
      <c r="F162" s="18" t="n"/>
      <c r="G162" s="18">
        <f>IF(OR(E162="",F162="Yes"),"",MAX(0,TODAY()-E162))</f>
        <v/>
      </c>
      <c r="H162" s="18">
        <f>IF(F162="Yes","✅ PAID",IF(A162="","",IF(G162&gt;0,"🔴 KULIKAHIN NA!","🕒 Hindi pa due")))</f>
        <v/>
      </c>
    </row>
    <row r="163">
      <c r="A163" s="20" t="n"/>
      <c r="B163" s="18" t="n"/>
      <c r="C163" s="18" t="n"/>
      <c r="D163" s="19" t="n"/>
      <c r="E163" s="20" t="n"/>
      <c r="F163" s="18" t="n"/>
      <c r="G163" s="18">
        <f>IF(OR(E163="",F163="Yes"),"",MAX(0,TODAY()-E163))</f>
        <v/>
      </c>
      <c r="H163" s="18">
        <f>IF(F163="Yes","✅ PAID",IF(A163="","",IF(G163&gt;0,"🔴 KULIKAHIN NA!","🕒 Hindi pa due")))</f>
        <v/>
      </c>
    </row>
    <row r="164">
      <c r="A164" s="20" t="n"/>
      <c r="B164" s="18" t="n"/>
      <c r="C164" s="18" t="n"/>
      <c r="D164" s="19" t="n"/>
      <c r="E164" s="20" t="n"/>
      <c r="F164" s="18" t="n"/>
      <c r="G164" s="18">
        <f>IF(OR(E164="",F164="Yes"),"",MAX(0,TODAY()-E164))</f>
        <v/>
      </c>
      <c r="H164" s="18">
        <f>IF(F164="Yes","✅ PAID",IF(A164="","",IF(G164&gt;0,"🔴 KULIKAHIN NA!","🕒 Hindi pa due")))</f>
        <v/>
      </c>
    </row>
    <row r="165">
      <c r="A165" s="20" t="n"/>
      <c r="B165" s="18" t="n"/>
      <c r="C165" s="18" t="n"/>
      <c r="D165" s="19" t="n"/>
      <c r="E165" s="20" t="n"/>
      <c r="F165" s="18" t="n"/>
      <c r="G165" s="18">
        <f>IF(OR(E165="",F165="Yes"),"",MAX(0,TODAY()-E165))</f>
        <v/>
      </c>
      <c r="H165" s="18">
        <f>IF(F165="Yes","✅ PAID",IF(A165="","",IF(G165&gt;0,"🔴 KULIKAHIN NA!","🕒 Hindi pa due")))</f>
        <v/>
      </c>
    </row>
    <row r="166">
      <c r="A166" s="20" t="n"/>
      <c r="B166" s="18" t="n"/>
      <c r="C166" s="18" t="n"/>
      <c r="D166" s="19" t="n"/>
      <c r="E166" s="20" t="n"/>
      <c r="F166" s="18" t="n"/>
      <c r="G166" s="18">
        <f>IF(OR(E166="",F166="Yes"),"",MAX(0,TODAY()-E166))</f>
        <v/>
      </c>
      <c r="H166" s="18">
        <f>IF(F166="Yes","✅ PAID",IF(A166="","",IF(G166&gt;0,"🔴 KULIKAHIN NA!","🕒 Hindi pa due")))</f>
        <v/>
      </c>
    </row>
    <row r="167">
      <c r="A167" s="20" t="n"/>
      <c r="B167" s="18" t="n"/>
      <c r="C167" s="18" t="n"/>
      <c r="D167" s="19" t="n"/>
      <c r="E167" s="20" t="n"/>
      <c r="F167" s="18" t="n"/>
      <c r="G167" s="18">
        <f>IF(OR(E167="",F167="Yes"),"",MAX(0,TODAY()-E167))</f>
        <v/>
      </c>
      <c r="H167" s="18">
        <f>IF(F167="Yes","✅ PAID",IF(A167="","",IF(G167&gt;0,"🔴 KULIKAHIN NA!","🕒 Hindi pa due")))</f>
        <v/>
      </c>
    </row>
    <row r="168">
      <c r="A168" s="20" t="n"/>
      <c r="B168" s="18" t="n"/>
      <c r="C168" s="18" t="n"/>
      <c r="D168" s="19" t="n"/>
      <c r="E168" s="20" t="n"/>
      <c r="F168" s="18" t="n"/>
      <c r="G168" s="18">
        <f>IF(OR(E168="",F168="Yes"),"",MAX(0,TODAY()-E168))</f>
        <v/>
      </c>
      <c r="H168" s="18">
        <f>IF(F168="Yes","✅ PAID",IF(A168="","",IF(G168&gt;0,"🔴 KULIKAHIN NA!","🕒 Hindi pa due")))</f>
        <v/>
      </c>
    </row>
    <row r="169">
      <c r="A169" s="20" t="n"/>
      <c r="B169" s="18" t="n"/>
      <c r="C169" s="18" t="n"/>
      <c r="D169" s="19" t="n"/>
      <c r="E169" s="20" t="n"/>
      <c r="F169" s="18" t="n"/>
      <c r="G169" s="18">
        <f>IF(OR(E169="",F169="Yes"),"",MAX(0,TODAY()-E169))</f>
        <v/>
      </c>
      <c r="H169" s="18">
        <f>IF(F169="Yes","✅ PAID",IF(A169="","",IF(G169&gt;0,"🔴 KULIKAHIN NA!","🕒 Hindi pa due")))</f>
        <v/>
      </c>
    </row>
    <row r="170">
      <c r="A170" s="20" t="n"/>
      <c r="B170" s="18" t="n"/>
      <c r="C170" s="18" t="n"/>
      <c r="D170" s="19" t="n"/>
      <c r="E170" s="20" t="n"/>
      <c r="F170" s="18" t="n"/>
      <c r="G170" s="18">
        <f>IF(OR(E170="",F170="Yes"),"",MAX(0,TODAY()-E170))</f>
        <v/>
      </c>
      <c r="H170" s="18">
        <f>IF(F170="Yes","✅ PAID",IF(A170="","",IF(G170&gt;0,"🔴 KULIKAHIN NA!","🕒 Hindi pa due")))</f>
        <v/>
      </c>
    </row>
    <row r="171">
      <c r="A171" s="20" t="n"/>
      <c r="B171" s="18" t="n"/>
      <c r="C171" s="18" t="n"/>
      <c r="D171" s="19" t="n"/>
      <c r="E171" s="20" t="n"/>
      <c r="F171" s="18" t="n"/>
      <c r="G171" s="18">
        <f>IF(OR(E171="",F171="Yes"),"",MAX(0,TODAY()-E171))</f>
        <v/>
      </c>
      <c r="H171" s="18">
        <f>IF(F171="Yes","✅ PAID",IF(A171="","",IF(G171&gt;0,"🔴 KULIKAHIN NA!","🕒 Hindi pa due")))</f>
        <v/>
      </c>
    </row>
    <row r="172">
      <c r="A172" s="20" t="n"/>
      <c r="B172" s="18" t="n"/>
      <c r="C172" s="18" t="n"/>
      <c r="D172" s="19" t="n"/>
      <c r="E172" s="20" t="n"/>
      <c r="F172" s="18" t="n"/>
      <c r="G172" s="18">
        <f>IF(OR(E172="",F172="Yes"),"",MAX(0,TODAY()-E172))</f>
        <v/>
      </c>
      <c r="H172" s="18">
        <f>IF(F172="Yes","✅ PAID",IF(A172="","",IF(G172&gt;0,"🔴 KULIKAHIN NA!","🕒 Hindi pa due")))</f>
        <v/>
      </c>
    </row>
    <row r="173">
      <c r="A173" s="20" t="n"/>
      <c r="B173" s="18" t="n"/>
      <c r="C173" s="18" t="n"/>
      <c r="D173" s="19" t="n"/>
      <c r="E173" s="20" t="n"/>
      <c r="F173" s="18" t="n"/>
      <c r="G173" s="18">
        <f>IF(OR(E173="",F173="Yes"),"",MAX(0,TODAY()-E173))</f>
        <v/>
      </c>
      <c r="H173" s="18">
        <f>IF(F173="Yes","✅ PAID",IF(A173="","",IF(G173&gt;0,"🔴 KULIKAHIN NA!","🕒 Hindi pa due")))</f>
        <v/>
      </c>
    </row>
    <row r="174">
      <c r="A174" s="20" t="n"/>
      <c r="B174" s="18" t="n"/>
      <c r="C174" s="18" t="n"/>
      <c r="D174" s="19" t="n"/>
      <c r="E174" s="20" t="n"/>
      <c r="F174" s="18" t="n"/>
      <c r="G174" s="18">
        <f>IF(OR(E174="",F174="Yes"),"",MAX(0,TODAY()-E174))</f>
        <v/>
      </c>
      <c r="H174" s="18">
        <f>IF(F174="Yes","✅ PAID",IF(A174="","",IF(G174&gt;0,"🔴 KULIKAHIN NA!","🕒 Hindi pa due")))</f>
        <v/>
      </c>
    </row>
    <row r="175">
      <c r="A175" s="20" t="n"/>
      <c r="B175" s="18" t="n"/>
      <c r="C175" s="18" t="n"/>
      <c r="D175" s="19" t="n"/>
      <c r="E175" s="20" t="n"/>
      <c r="F175" s="18" t="n"/>
      <c r="G175" s="18">
        <f>IF(OR(E175="",F175="Yes"),"",MAX(0,TODAY()-E175))</f>
        <v/>
      </c>
      <c r="H175" s="18">
        <f>IF(F175="Yes","✅ PAID",IF(A175="","",IF(G175&gt;0,"🔴 KULIKAHIN NA!","🕒 Hindi pa due")))</f>
        <v/>
      </c>
    </row>
    <row r="176">
      <c r="A176" s="20" t="n"/>
      <c r="B176" s="18" t="n"/>
      <c r="C176" s="18" t="n"/>
      <c r="D176" s="19" t="n"/>
      <c r="E176" s="20" t="n"/>
      <c r="F176" s="18" t="n"/>
      <c r="G176" s="18">
        <f>IF(OR(E176="",F176="Yes"),"",MAX(0,TODAY()-E176))</f>
        <v/>
      </c>
      <c r="H176" s="18">
        <f>IF(F176="Yes","✅ PAID",IF(A176="","",IF(G176&gt;0,"🔴 KULIKAHIN NA!","🕒 Hindi pa due")))</f>
        <v/>
      </c>
    </row>
    <row r="177">
      <c r="A177" s="20" t="n"/>
      <c r="B177" s="18" t="n"/>
      <c r="C177" s="18" t="n"/>
      <c r="D177" s="19" t="n"/>
      <c r="E177" s="20" t="n"/>
      <c r="F177" s="18" t="n"/>
      <c r="G177" s="18">
        <f>IF(OR(E177="",F177="Yes"),"",MAX(0,TODAY()-E177))</f>
        <v/>
      </c>
      <c r="H177" s="18">
        <f>IF(F177="Yes","✅ PAID",IF(A177="","",IF(G177&gt;0,"🔴 KULIKAHIN NA!","🕒 Hindi pa due")))</f>
        <v/>
      </c>
    </row>
    <row r="178">
      <c r="A178" s="20" t="n"/>
      <c r="B178" s="18" t="n"/>
      <c r="C178" s="18" t="n"/>
      <c r="D178" s="19" t="n"/>
      <c r="E178" s="20" t="n"/>
      <c r="F178" s="18" t="n"/>
      <c r="G178" s="18">
        <f>IF(OR(E178="",F178="Yes"),"",MAX(0,TODAY()-E178))</f>
        <v/>
      </c>
      <c r="H178" s="18">
        <f>IF(F178="Yes","✅ PAID",IF(A178="","",IF(G178&gt;0,"🔴 KULIKAHIN NA!","🕒 Hindi pa due")))</f>
        <v/>
      </c>
    </row>
    <row r="179">
      <c r="A179" s="20" t="n"/>
      <c r="B179" s="18" t="n"/>
      <c r="C179" s="18" t="n"/>
      <c r="D179" s="19" t="n"/>
      <c r="E179" s="20" t="n"/>
      <c r="F179" s="18" t="n"/>
      <c r="G179" s="18">
        <f>IF(OR(E179="",F179="Yes"),"",MAX(0,TODAY()-E179))</f>
        <v/>
      </c>
      <c r="H179" s="18">
        <f>IF(F179="Yes","✅ PAID",IF(A179="","",IF(G179&gt;0,"🔴 KULIKAHIN NA!","🕒 Hindi pa due")))</f>
        <v/>
      </c>
    </row>
    <row r="180">
      <c r="A180" s="20" t="n"/>
      <c r="B180" s="18" t="n"/>
      <c r="C180" s="18" t="n"/>
      <c r="D180" s="19" t="n"/>
      <c r="E180" s="20" t="n"/>
      <c r="F180" s="18" t="n"/>
      <c r="G180" s="18">
        <f>IF(OR(E180="",F180="Yes"),"",MAX(0,TODAY()-E180))</f>
        <v/>
      </c>
      <c r="H180" s="18">
        <f>IF(F180="Yes","✅ PAID",IF(A180="","",IF(G180&gt;0,"🔴 KULIKAHIN NA!","🕒 Hindi pa due")))</f>
        <v/>
      </c>
    </row>
    <row r="181">
      <c r="A181" s="20" t="n"/>
      <c r="B181" s="18" t="n"/>
      <c r="C181" s="18" t="n"/>
      <c r="D181" s="19" t="n"/>
      <c r="E181" s="20" t="n"/>
      <c r="F181" s="18" t="n"/>
      <c r="G181" s="18">
        <f>IF(OR(E181="",F181="Yes"),"",MAX(0,TODAY()-E181))</f>
        <v/>
      </c>
      <c r="H181" s="18">
        <f>IF(F181="Yes","✅ PAID",IF(A181="","",IF(G181&gt;0,"🔴 KULIKAHIN NA!","🕒 Hindi pa due")))</f>
        <v/>
      </c>
    </row>
    <row r="182">
      <c r="A182" s="20" t="n"/>
      <c r="B182" s="18" t="n"/>
      <c r="C182" s="18" t="n"/>
      <c r="D182" s="19" t="n"/>
      <c r="E182" s="20" t="n"/>
      <c r="F182" s="18" t="n"/>
      <c r="G182" s="18">
        <f>IF(OR(E182="",F182="Yes"),"",MAX(0,TODAY()-E182))</f>
        <v/>
      </c>
      <c r="H182" s="18">
        <f>IF(F182="Yes","✅ PAID",IF(A182="","",IF(G182&gt;0,"🔴 KULIKAHIN NA!","🕒 Hindi pa due")))</f>
        <v/>
      </c>
    </row>
    <row r="183">
      <c r="A183" s="20" t="n"/>
      <c r="B183" s="18" t="n"/>
      <c r="C183" s="18" t="n"/>
      <c r="D183" s="19" t="n"/>
      <c r="E183" s="20" t="n"/>
      <c r="F183" s="18" t="n"/>
      <c r="G183" s="18">
        <f>IF(OR(E183="",F183="Yes"),"",MAX(0,TODAY()-E183))</f>
        <v/>
      </c>
      <c r="H183" s="18">
        <f>IF(F183="Yes","✅ PAID",IF(A183="","",IF(G183&gt;0,"🔴 KULIKAHIN NA!","🕒 Hindi pa due")))</f>
        <v/>
      </c>
    </row>
    <row r="184">
      <c r="A184" s="20" t="n"/>
      <c r="B184" s="18" t="n"/>
      <c r="C184" s="18" t="n"/>
      <c r="D184" s="19" t="n"/>
      <c r="E184" s="20" t="n"/>
      <c r="F184" s="18" t="n"/>
      <c r="G184" s="18">
        <f>IF(OR(E184="",F184="Yes"),"",MAX(0,TODAY()-E184))</f>
        <v/>
      </c>
      <c r="H184" s="18">
        <f>IF(F184="Yes","✅ PAID",IF(A184="","",IF(G184&gt;0,"🔴 KULIKAHIN NA!","🕒 Hindi pa due")))</f>
        <v/>
      </c>
    </row>
    <row r="185">
      <c r="A185" s="20" t="n"/>
      <c r="B185" s="18" t="n"/>
      <c r="C185" s="18" t="n"/>
      <c r="D185" s="19" t="n"/>
      <c r="E185" s="20" t="n"/>
      <c r="F185" s="18" t="n"/>
      <c r="G185" s="18">
        <f>IF(OR(E185="",F185="Yes"),"",MAX(0,TODAY()-E185))</f>
        <v/>
      </c>
      <c r="H185" s="18">
        <f>IF(F185="Yes","✅ PAID",IF(A185="","",IF(G185&gt;0,"🔴 KULIKAHIN NA!","🕒 Hindi pa due")))</f>
        <v/>
      </c>
    </row>
    <row r="186">
      <c r="A186" s="20" t="n"/>
      <c r="B186" s="18" t="n"/>
      <c r="C186" s="18" t="n"/>
      <c r="D186" s="19" t="n"/>
      <c r="E186" s="20" t="n"/>
      <c r="F186" s="18" t="n"/>
      <c r="G186" s="18">
        <f>IF(OR(E186="",F186="Yes"),"",MAX(0,TODAY()-E186))</f>
        <v/>
      </c>
      <c r="H186" s="18">
        <f>IF(F186="Yes","✅ PAID",IF(A186="","",IF(G186&gt;0,"🔴 KULIKAHIN NA!","🕒 Hindi pa due")))</f>
        <v/>
      </c>
    </row>
    <row r="187">
      <c r="A187" s="20" t="n"/>
      <c r="B187" s="18" t="n"/>
      <c r="C187" s="18" t="n"/>
      <c r="D187" s="19" t="n"/>
      <c r="E187" s="20" t="n"/>
      <c r="F187" s="18" t="n"/>
      <c r="G187" s="18">
        <f>IF(OR(E187="",F187="Yes"),"",MAX(0,TODAY()-E187))</f>
        <v/>
      </c>
      <c r="H187" s="18">
        <f>IF(F187="Yes","✅ PAID",IF(A187="","",IF(G187&gt;0,"🔴 KULIKAHIN NA!","🕒 Hindi pa due")))</f>
        <v/>
      </c>
    </row>
    <row r="188">
      <c r="A188" s="20" t="n"/>
      <c r="B188" s="18" t="n"/>
      <c r="C188" s="18" t="n"/>
      <c r="D188" s="19" t="n"/>
      <c r="E188" s="20" t="n"/>
      <c r="F188" s="18" t="n"/>
      <c r="G188" s="18">
        <f>IF(OR(E188="",F188="Yes"),"",MAX(0,TODAY()-E188))</f>
        <v/>
      </c>
      <c r="H188" s="18">
        <f>IF(F188="Yes","✅ PAID",IF(A188="","",IF(G188&gt;0,"🔴 KULIKAHIN NA!","🕒 Hindi pa due")))</f>
        <v/>
      </c>
    </row>
    <row r="189">
      <c r="A189" s="20" t="n"/>
      <c r="B189" s="18" t="n"/>
      <c r="C189" s="18" t="n"/>
      <c r="D189" s="19" t="n"/>
      <c r="E189" s="20" t="n"/>
      <c r="F189" s="18" t="n"/>
      <c r="G189" s="18">
        <f>IF(OR(E189="",F189="Yes"),"",MAX(0,TODAY()-E189))</f>
        <v/>
      </c>
      <c r="H189" s="18">
        <f>IF(F189="Yes","✅ PAID",IF(A189="","",IF(G189&gt;0,"🔴 KULIKAHIN NA!","🕒 Hindi pa due")))</f>
        <v/>
      </c>
    </row>
    <row r="190">
      <c r="A190" s="20" t="n"/>
      <c r="B190" s="18" t="n"/>
      <c r="C190" s="18" t="n"/>
      <c r="D190" s="19" t="n"/>
      <c r="E190" s="20" t="n"/>
      <c r="F190" s="18" t="n"/>
      <c r="G190" s="18">
        <f>IF(OR(E190="",F190="Yes"),"",MAX(0,TODAY()-E190))</f>
        <v/>
      </c>
      <c r="H190" s="18">
        <f>IF(F190="Yes","✅ PAID",IF(A190="","",IF(G190&gt;0,"🔴 KULIKAHIN NA!","🕒 Hindi pa due")))</f>
        <v/>
      </c>
    </row>
    <row r="191">
      <c r="A191" s="20" t="n"/>
      <c r="B191" s="18" t="n"/>
      <c r="C191" s="18" t="n"/>
      <c r="D191" s="19" t="n"/>
      <c r="E191" s="20" t="n"/>
      <c r="F191" s="18" t="n"/>
      <c r="G191" s="18">
        <f>IF(OR(E191="",F191="Yes"),"",MAX(0,TODAY()-E191))</f>
        <v/>
      </c>
      <c r="H191" s="18">
        <f>IF(F191="Yes","✅ PAID",IF(A191="","",IF(G191&gt;0,"🔴 KULIKAHIN NA!","🕒 Hindi pa due")))</f>
        <v/>
      </c>
    </row>
    <row r="192">
      <c r="A192" s="20" t="n"/>
      <c r="B192" s="18" t="n"/>
      <c r="C192" s="18" t="n"/>
      <c r="D192" s="19" t="n"/>
      <c r="E192" s="20" t="n"/>
      <c r="F192" s="18" t="n"/>
      <c r="G192" s="18">
        <f>IF(OR(E192="",F192="Yes"),"",MAX(0,TODAY()-E192))</f>
        <v/>
      </c>
      <c r="H192" s="18">
        <f>IF(F192="Yes","✅ PAID",IF(A192="","",IF(G192&gt;0,"🔴 KULIKAHIN NA!","🕒 Hindi pa due")))</f>
        <v/>
      </c>
    </row>
    <row r="193">
      <c r="A193" s="20" t="n"/>
      <c r="B193" s="18" t="n"/>
      <c r="C193" s="18" t="n"/>
      <c r="D193" s="19" t="n"/>
      <c r="E193" s="20" t="n"/>
      <c r="F193" s="18" t="n"/>
      <c r="G193" s="18">
        <f>IF(OR(E193="",F193="Yes"),"",MAX(0,TODAY()-E193))</f>
        <v/>
      </c>
      <c r="H193" s="18">
        <f>IF(F193="Yes","✅ PAID",IF(A193="","",IF(G193&gt;0,"🔴 KULIKAHIN NA!","🕒 Hindi pa due")))</f>
        <v/>
      </c>
    </row>
    <row r="194">
      <c r="A194" s="20" t="n"/>
      <c r="B194" s="18" t="n"/>
      <c r="C194" s="18" t="n"/>
      <c r="D194" s="19" t="n"/>
      <c r="E194" s="20" t="n"/>
      <c r="F194" s="18" t="n"/>
      <c r="G194" s="18">
        <f>IF(OR(E194="",F194="Yes"),"",MAX(0,TODAY()-E194))</f>
        <v/>
      </c>
      <c r="H194" s="18">
        <f>IF(F194="Yes","✅ PAID",IF(A194="","",IF(G194&gt;0,"🔴 KULIKAHIN NA!","🕒 Hindi pa due")))</f>
        <v/>
      </c>
    </row>
    <row r="195">
      <c r="A195" s="20" t="n"/>
      <c r="B195" s="18" t="n"/>
      <c r="C195" s="18" t="n"/>
      <c r="D195" s="19" t="n"/>
      <c r="E195" s="20" t="n"/>
      <c r="F195" s="18" t="n"/>
      <c r="G195" s="18">
        <f>IF(OR(E195="",F195="Yes"),"",MAX(0,TODAY()-E195))</f>
        <v/>
      </c>
      <c r="H195" s="18">
        <f>IF(F195="Yes","✅ PAID",IF(A195="","",IF(G195&gt;0,"🔴 KULIKAHIN NA!","🕒 Hindi pa due")))</f>
        <v/>
      </c>
    </row>
    <row r="196">
      <c r="A196" s="20" t="n"/>
      <c r="B196" s="18" t="n"/>
      <c r="C196" s="18" t="n"/>
      <c r="D196" s="19" t="n"/>
      <c r="E196" s="20" t="n"/>
      <c r="F196" s="18" t="n"/>
      <c r="G196" s="18">
        <f>IF(OR(E196="",F196="Yes"),"",MAX(0,TODAY()-E196))</f>
        <v/>
      </c>
      <c r="H196" s="18">
        <f>IF(F196="Yes","✅ PAID",IF(A196="","",IF(G196&gt;0,"🔴 KULIKAHIN NA!","🕒 Hindi pa due")))</f>
        <v/>
      </c>
    </row>
    <row r="197">
      <c r="A197" s="20" t="n"/>
      <c r="B197" s="18" t="n"/>
      <c r="C197" s="18" t="n"/>
      <c r="D197" s="19" t="n"/>
      <c r="E197" s="20" t="n"/>
      <c r="F197" s="18" t="n"/>
      <c r="G197" s="18">
        <f>IF(OR(E197="",F197="Yes"),"",MAX(0,TODAY()-E197))</f>
        <v/>
      </c>
      <c r="H197" s="18">
        <f>IF(F197="Yes","✅ PAID",IF(A197="","",IF(G197&gt;0,"🔴 KULIKAHIN NA!","🕒 Hindi pa due")))</f>
        <v/>
      </c>
    </row>
    <row r="198">
      <c r="A198" s="20" t="n"/>
      <c r="B198" s="18" t="n"/>
      <c r="C198" s="18" t="n"/>
      <c r="D198" s="19" t="n"/>
      <c r="E198" s="20" t="n"/>
      <c r="F198" s="18" t="n"/>
      <c r="G198" s="18">
        <f>IF(OR(E198="",F198="Yes"),"",MAX(0,TODAY()-E198))</f>
        <v/>
      </c>
      <c r="H198" s="18">
        <f>IF(F198="Yes","✅ PAID",IF(A198="","",IF(G198&gt;0,"🔴 KULIKAHIN NA!","🕒 Hindi pa due")))</f>
        <v/>
      </c>
    </row>
    <row r="199">
      <c r="A199" s="20" t="n"/>
      <c r="B199" s="18" t="n"/>
      <c r="C199" s="18" t="n"/>
      <c r="D199" s="19" t="n"/>
      <c r="E199" s="20" t="n"/>
      <c r="F199" s="18" t="n"/>
      <c r="G199" s="18">
        <f>IF(OR(E199="",F199="Yes"),"",MAX(0,TODAY()-E199))</f>
        <v/>
      </c>
      <c r="H199" s="18">
        <f>IF(F199="Yes","✅ PAID",IF(A199="","",IF(G199&gt;0,"🔴 KULIKAHIN NA!","🕒 Hindi pa due")))</f>
        <v/>
      </c>
    </row>
    <row r="200">
      <c r="A200" s="20" t="n"/>
      <c r="B200" s="18" t="n"/>
      <c r="C200" s="18" t="n"/>
      <c r="D200" s="19" t="n"/>
      <c r="E200" s="20" t="n"/>
      <c r="F200" s="18" t="n"/>
      <c r="G200" s="18">
        <f>IF(OR(E200="",F200="Yes"),"",MAX(0,TODAY()-E200))</f>
        <v/>
      </c>
      <c r="H200" s="18">
        <f>IF(F200="Yes","✅ PAID",IF(A200="","",IF(G200&gt;0,"🔴 KULIKAHIN NA!","🕒 Hindi pa due")))</f>
        <v/>
      </c>
    </row>
    <row r="201">
      <c r="A201" s="20" t="n"/>
      <c r="B201" s="18" t="n"/>
      <c r="C201" s="18" t="n"/>
      <c r="D201" s="19" t="n"/>
      <c r="E201" s="20" t="n"/>
      <c r="F201" s="18" t="n"/>
      <c r="G201" s="18">
        <f>IF(OR(E201="",F201="Yes"),"",MAX(0,TODAY()-E201))</f>
        <v/>
      </c>
      <c r="H201" s="18">
        <f>IF(F201="Yes","✅ PAID",IF(A201="","",IF(G201&gt;0,"🔴 KULIKAHIN NA!","🕒 Hindi pa due")))</f>
        <v/>
      </c>
    </row>
  </sheetData>
  <autoFilter ref="A1:H201"/>
  <conditionalFormatting sqref="H2:H201">
    <cfRule type="expression" priority="1" dxfId="0">
      <formula>$H2="🔴 KULIKAHIN NA!"</formula>
    </cfRule>
  </conditionalFormatting>
  <dataValidations count="1">
    <dataValidation sqref="F2:F20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3" customWidth="1" min="4" max="4"/>
  </cols>
  <sheetData>
    <row r="1">
      <c r="A1" s="17" t="inlineStr">
        <is>
          <t>Date</t>
        </is>
      </c>
      <c r="B1" s="17" t="inlineStr">
        <is>
          <t>Category</t>
        </is>
      </c>
      <c r="C1" s="17" t="inlineStr">
        <is>
          <t>Description</t>
        </is>
      </c>
      <c r="D1" s="17" t="inlineStr">
        <is>
          <t>Amount (₱)</t>
        </is>
      </c>
    </row>
    <row r="2">
      <c r="A2" s="20" t="n"/>
      <c r="B2" s="18" t="n"/>
      <c r="C2" s="18" t="n"/>
      <c r="D2" s="19" t="n"/>
    </row>
    <row r="3">
      <c r="A3" s="20" t="n"/>
      <c r="B3" s="18" t="n"/>
      <c r="C3" s="18" t="n"/>
      <c r="D3" s="19" t="n"/>
    </row>
    <row r="4">
      <c r="A4" s="20" t="n"/>
      <c r="B4" s="18" t="n"/>
      <c r="C4" s="18" t="n"/>
      <c r="D4" s="19" t="n"/>
    </row>
    <row r="5">
      <c r="A5" s="20" t="n"/>
      <c r="B5" s="18" t="n"/>
      <c r="C5" s="18" t="n"/>
      <c r="D5" s="19" t="n"/>
    </row>
    <row r="6">
      <c r="A6" s="20" t="n"/>
      <c r="B6" s="18" t="n"/>
      <c r="C6" s="18" t="n"/>
      <c r="D6" s="19" t="n"/>
    </row>
    <row r="7">
      <c r="A7" s="20" t="n"/>
      <c r="B7" s="18" t="n"/>
      <c r="C7" s="18" t="n"/>
      <c r="D7" s="19" t="n"/>
    </row>
    <row r="8">
      <c r="A8" s="20" t="n"/>
      <c r="B8" s="18" t="n"/>
      <c r="C8" s="18" t="n"/>
      <c r="D8" s="19" t="n"/>
    </row>
    <row r="9">
      <c r="A9" s="20" t="n"/>
      <c r="B9" s="18" t="n"/>
      <c r="C9" s="18" t="n"/>
      <c r="D9" s="19" t="n"/>
    </row>
    <row r="10">
      <c r="A10" s="20" t="n"/>
      <c r="B10" s="18" t="n"/>
      <c r="C10" s="18" t="n"/>
      <c r="D10" s="19" t="n"/>
    </row>
    <row r="11">
      <c r="A11" s="20" t="n"/>
      <c r="B11" s="18" t="n"/>
      <c r="C11" s="18" t="n"/>
      <c r="D11" s="19" t="n"/>
    </row>
    <row r="12">
      <c r="A12" s="20" t="n"/>
      <c r="B12" s="18" t="n"/>
      <c r="C12" s="18" t="n"/>
      <c r="D12" s="19" t="n"/>
    </row>
    <row r="13">
      <c r="A13" s="20" t="n"/>
      <c r="B13" s="18" t="n"/>
      <c r="C13" s="18" t="n"/>
      <c r="D13" s="19" t="n"/>
    </row>
    <row r="14">
      <c r="A14" s="20" t="n"/>
      <c r="B14" s="18" t="n"/>
      <c r="C14" s="18" t="n"/>
      <c r="D14" s="19" t="n"/>
    </row>
    <row r="15">
      <c r="A15" s="20" t="n"/>
      <c r="B15" s="18" t="n"/>
      <c r="C15" s="18" t="n"/>
      <c r="D15" s="19" t="n"/>
    </row>
    <row r="16">
      <c r="A16" s="20" t="n"/>
      <c r="B16" s="18" t="n"/>
      <c r="C16" s="18" t="n"/>
      <c r="D16" s="19" t="n"/>
    </row>
    <row r="17">
      <c r="A17" s="20" t="n"/>
      <c r="B17" s="18" t="n"/>
      <c r="C17" s="18" t="n"/>
      <c r="D17" s="19" t="n"/>
    </row>
    <row r="18">
      <c r="A18" s="20" t="n"/>
      <c r="B18" s="18" t="n"/>
      <c r="C18" s="18" t="n"/>
      <c r="D18" s="19" t="n"/>
    </row>
    <row r="19">
      <c r="A19" s="20" t="n"/>
      <c r="B19" s="18" t="n"/>
      <c r="C19" s="18" t="n"/>
      <c r="D19" s="19" t="n"/>
    </row>
    <row r="20">
      <c r="A20" s="20" t="n"/>
      <c r="B20" s="18" t="n"/>
      <c r="C20" s="18" t="n"/>
      <c r="D20" s="19" t="n"/>
    </row>
    <row r="21">
      <c r="A21" s="20" t="n"/>
      <c r="B21" s="18" t="n"/>
      <c r="C21" s="18" t="n"/>
      <c r="D21" s="19" t="n"/>
    </row>
    <row r="22">
      <c r="A22" s="20" t="n"/>
      <c r="B22" s="18" t="n"/>
      <c r="C22" s="18" t="n"/>
      <c r="D22" s="19" t="n"/>
    </row>
    <row r="23">
      <c r="A23" s="20" t="n"/>
      <c r="B23" s="18" t="n"/>
      <c r="C23" s="18" t="n"/>
      <c r="D23" s="19" t="n"/>
    </row>
    <row r="24">
      <c r="A24" s="20" t="n"/>
      <c r="B24" s="18" t="n"/>
      <c r="C24" s="18" t="n"/>
      <c r="D24" s="19" t="n"/>
    </row>
    <row r="25">
      <c r="A25" s="20" t="n"/>
      <c r="B25" s="18" t="n"/>
      <c r="C25" s="18" t="n"/>
      <c r="D25" s="19" t="n"/>
    </row>
    <row r="26">
      <c r="A26" s="20" t="n"/>
      <c r="B26" s="18" t="n"/>
      <c r="C26" s="18" t="n"/>
      <c r="D26" s="19" t="n"/>
    </row>
    <row r="27">
      <c r="A27" s="20" t="n"/>
      <c r="B27" s="18" t="n"/>
      <c r="C27" s="18" t="n"/>
      <c r="D27" s="19" t="n"/>
    </row>
    <row r="28">
      <c r="A28" s="20" t="n"/>
      <c r="B28" s="18" t="n"/>
      <c r="C28" s="18" t="n"/>
      <c r="D28" s="19" t="n"/>
    </row>
    <row r="29">
      <c r="A29" s="20" t="n"/>
      <c r="B29" s="18" t="n"/>
      <c r="C29" s="18" t="n"/>
      <c r="D29" s="19" t="n"/>
    </row>
    <row r="30">
      <c r="A30" s="20" t="n"/>
      <c r="B30" s="18" t="n"/>
      <c r="C30" s="18" t="n"/>
      <c r="D30" s="19" t="n"/>
    </row>
    <row r="31">
      <c r="A31" s="20" t="n"/>
      <c r="B31" s="18" t="n"/>
      <c r="C31" s="18" t="n"/>
      <c r="D31" s="19" t="n"/>
    </row>
    <row r="32">
      <c r="A32" s="20" t="n"/>
      <c r="B32" s="18" t="n"/>
      <c r="C32" s="18" t="n"/>
      <c r="D32" s="19" t="n"/>
    </row>
    <row r="33">
      <c r="A33" s="20" t="n"/>
      <c r="B33" s="18" t="n"/>
      <c r="C33" s="18" t="n"/>
      <c r="D33" s="19" t="n"/>
    </row>
    <row r="34">
      <c r="A34" s="20" t="n"/>
      <c r="B34" s="18" t="n"/>
      <c r="C34" s="18" t="n"/>
      <c r="D34" s="19" t="n"/>
    </row>
    <row r="35">
      <c r="A35" s="20" t="n"/>
      <c r="B35" s="18" t="n"/>
      <c r="C35" s="18" t="n"/>
      <c r="D35" s="19" t="n"/>
    </row>
    <row r="36">
      <c r="A36" s="20" t="n"/>
      <c r="B36" s="18" t="n"/>
      <c r="C36" s="18" t="n"/>
      <c r="D36" s="19" t="n"/>
    </row>
    <row r="37">
      <c r="A37" s="20" t="n"/>
      <c r="B37" s="18" t="n"/>
      <c r="C37" s="18" t="n"/>
      <c r="D37" s="19" t="n"/>
    </row>
    <row r="38">
      <c r="A38" s="20" t="n"/>
      <c r="B38" s="18" t="n"/>
      <c r="C38" s="18" t="n"/>
      <c r="D38" s="19" t="n"/>
    </row>
    <row r="39">
      <c r="A39" s="20" t="n"/>
      <c r="B39" s="18" t="n"/>
      <c r="C39" s="18" t="n"/>
      <c r="D39" s="19" t="n"/>
    </row>
    <row r="40">
      <c r="A40" s="20" t="n"/>
      <c r="B40" s="18" t="n"/>
      <c r="C40" s="18" t="n"/>
      <c r="D40" s="19" t="n"/>
    </row>
    <row r="41">
      <c r="A41" s="20" t="n"/>
      <c r="B41" s="18" t="n"/>
      <c r="C41" s="18" t="n"/>
      <c r="D41" s="19" t="n"/>
    </row>
    <row r="42">
      <c r="A42" s="20" t="n"/>
      <c r="B42" s="18" t="n"/>
      <c r="C42" s="18" t="n"/>
      <c r="D42" s="19" t="n"/>
    </row>
    <row r="43">
      <c r="A43" s="20" t="n"/>
      <c r="B43" s="18" t="n"/>
      <c r="C43" s="18" t="n"/>
      <c r="D43" s="19" t="n"/>
    </row>
    <row r="44">
      <c r="A44" s="20" t="n"/>
      <c r="B44" s="18" t="n"/>
      <c r="C44" s="18" t="n"/>
      <c r="D44" s="19" t="n"/>
    </row>
    <row r="45">
      <c r="A45" s="20" t="n"/>
      <c r="B45" s="18" t="n"/>
      <c r="C45" s="18" t="n"/>
      <c r="D45" s="19" t="n"/>
    </row>
    <row r="46">
      <c r="A46" s="20" t="n"/>
      <c r="B46" s="18" t="n"/>
      <c r="C46" s="18" t="n"/>
      <c r="D46" s="19" t="n"/>
    </row>
    <row r="47">
      <c r="A47" s="20" t="n"/>
      <c r="B47" s="18" t="n"/>
      <c r="C47" s="18" t="n"/>
      <c r="D47" s="19" t="n"/>
    </row>
    <row r="48">
      <c r="A48" s="20" t="n"/>
      <c r="B48" s="18" t="n"/>
      <c r="C48" s="18" t="n"/>
      <c r="D48" s="19" t="n"/>
    </row>
    <row r="49">
      <c r="A49" s="20" t="n"/>
      <c r="B49" s="18" t="n"/>
      <c r="C49" s="18" t="n"/>
      <c r="D49" s="19" t="n"/>
    </row>
    <row r="50">
      <c r="A50" s="20" t="n"/>
      <c r="B50" s="18" t="n"/>
      <c r="C50" s="18" t="n"/>
      <c r="D50" s="19" t="n"/>
    </row>
    <row r="51">
      <c r="A51" s="20" t="n"/>
      <c r="B51" s="18" t="n"/>
      <c r="C51" s="18" t="n"/>
      <c r="D51" s="19" t="n"/>
    </row>
    <row r="52">
      <c r="A52" s="20" t="n"/>
      <c r="B52" s="18" t="n"/>
      <c r="C52" s="18" t="n"/>
      <c r="D52" s="19" t="n"/>
    </row>
    <row r="53">
      <c r="A53" s="20" t="n"/>
      <c r="B53" s="18" t="n"/>
      <c r="C53" s="18" t="n"/>
      <c r="D53" s="19" t="n"/>
    </row>
    <row r="54">
      <c r="A54" s="20" t="n"/>
      <c r="B54" s="18" t="n"/>
      <c r="C54" s="18" t="n"/>
      <c r="D54" s="19" t="n"/>
    </row>
    <row r="55">
      <c r="A55" s="20" t="n"/>
      <c r="B55" s="18" t="n"/>
      <c r="C55" s="18" t="n"/>
      <c r="D55" s="19" t="n"/>
    </row>
    <row r="56">
      <c r="A56" s="20" t="n"/>
      <c r="B56" s="18" t="n"/>
      <c r="C56" s="18" t="n"/>
      <c r="D56" s="19" t="n"/>
    </row>
    <row r="57">
      <c r="A57" s="20" t="n"/>
      <c r="B57" s="18" t="n"/>
      <c r="C57" s="18" t="n"/>
      <c r="D57" s="19" t="n"/>
    </row>
    <row r="58">
      <c r="A58" s="20" t="n"/>
      <c r="B58" s="18" t="n"/>
      <c r="C58" s="18" t="n"/>
      <c r="D58" s="19" t="n"/>
    </row>
    <row r="59">
      <c r="A59" s="20" t="n"/>
      <c r="B59" s="18" t="n"/>
      <c r="C59" s="18" t="n"/>
      <c r="D59" s="19" t="n"/>
    </row>
    <row r="60">
      <c r="A60" s="20" t="n"/>
      <c r="B60" s="18" t="n"/>
      <c r="C60" s="18" t="n"/>
      <c r="D60" s="19" t="n"/>
    </row>
    <row r="61">
      <c r="A61" s="20" t="n"/>
      <c r="B61" s="18" t="n"/>
      <c r="C61" s="18" t="n"/>
      <c r="D61" s="19" t="n"/>
    </row>
    <row r="62">
      <c r="A62" s="20" t="n"/>
      <c r="B62" s="18" t="n"/>
      <c r="C62" s="18" t="n"/>
      <c r="D62" s="19" t="n"/>
    </row>
    <row r="63">
      <c r="A63" s="20" t="n"/>
      <c r="B63" s="18" t="n"/>
      <c r="C63" s="18" t="n"/>
      <c r="D63" s="19" t="n"/>
    </row>
    <row r="64">
      <c r="A64" s="20" t="n"/>
      <c r="B64" s="18" t="n"/>
      <c r="C64" s="18" t="n"/>
      <c r="D64" s="19" t="n"/>
    </row>
    <row r="65">
      <c r="A65" s="20" t="n"/>
      <c r="B65" s="18" t="n"/>
      <c r="C65" s="18" t="n"/>
      <c r="D65" s="19" t="n"/>
    </row>
    <row r="66">
      <c r="A66" s="20" t="n"/>
      <c r="B66" s="18" t="n"/>
      <c r="C66" s="18" t="n"/>
      <c r="D66" s="19" t="n"/>
    </row>
    <row r="67">
      <c r="A67" s="20" t="n"/>
      <c r="B67" s="18" t="n"/>
      <c r="C67" s="18" t="n"/>
      <c r="D67" s="19" t="n"/>
    </row>
    <row r="68">
      <c r="A68" s="20" t="n"/>
      <c r="B68" s="18" t="n"/>
      <c r="C68" s="18" t="n"/>
      <c r="D68" s="19" t="n"/>
    </row>
    <row r="69">
      <c r="A69" s="20" t="n"/>
      <c r="B69" s="18" t="n"/>
      <c r="C69" s="18" t="n"/>
      <c r="D69" s="19" t="n"/>
    </row>
    <row r="70">
      <c r="A70" s="20" t="n"/>
      <c r="B70" s="18" t="n"/>
      <c r="C70" s="18" t="n"/>
      <c r="D70" s="19" t="n"/>
    </row>
    <row r="71">
      <c r="A71" s="20" t="n"/>
      <c r="B71" s="18" t="n"/>
      <c r="C71" s="18" t="n"/>
      <c r="D71" s="19" t="n"/>
    </row>
    <row r="72">
      <c r="A72" s="20" t="n"/>
      <c r="B72" s="18" t="n"/>
      <c r="C72" s="18" t="n"/>
      <c r="D72" s="19" t="n"/>
    </row>
    <row r="73">
      <c r="A73" s="20" t="n"/>
      <c r="B73" s="18" t="n"/>
      <c r="C73" s="18" t="n"/>
      <c r="D73" s="19" t="n"/>
    </row>
    <row r="74">
      <c r="A74" s="20" t="n"/>
      <c r="B74" s="18" t="n"/>
      <c r="C74" s="18" t="n"/>
      <c r="D74" s="19" t="n"/>
    </row>
    <row r="75">
      <c r="A75" s="20" t="n"/>
      <c r="B75" s="18" t="n"/>
      <c r="C75" s="18" t="n"/>
      <c r="D75" s="19" t="n"/>
    </row>
    <row r="76">
      <c r="A76" s="20" t="n"/>
      <c r="B76" s="18" t="n"/>
      <c r="C76" s="18" t="n"/>
      <c r="D76" s="19" t="n"/>
    </row>
    <row r="77">
      <c r="A77" s="20" t="n"/>
      <c r="B77" s="18" t="n"/>
      <c r="C77" s="18" t="n"/>
      <c r="D77" s="19" t="n"/>
    </row>
    <row r="78">
      <c r="A78" s="20" t="n"/>
      <c r="B78" s="18" t="n"/>
      <c r="C78" s="18" t="n"/>
      <c r="D78" s="19" t="n"/>
    </row>
    <row r="79">
      <c r="A79" s="20" t="n"/>
      <c r="B79" s="18" t="n"/>
      <c r="C79" s="18" t="n"/>
      <c r="D79" s="19" t="n"/>
    </row>
    <row r="80">
      <c r="A80" s="20" t="n"/>
      <c r="B80" s="18" t="n"/>
      <c r="C80" s="18" t="n"/>
      <c r="D80" s="19" t="n"/>
    </row>
    <row r="81">
      <c r="A81" s="20" t="n"/>
      <c r="B81" s="18" t="n"/>
      <c r="C81" s="18" t="n"/>
      <c r="D81" s="19" t="n"/>
    </row>
    <row r="82">
      <c r="A82" s="20" t="n"/>
      <c r="B82" s="18" t="n"/>
      <c r="C82" s="18" t="n"/>
      <c r="D82" s="19" t="n"/>
    </row>
    <row r="83">
      <c r="A83" s="20" t="n"/>
      <c r="B83" s="18" t="n"/>
      <c r="C83" s="18" t="n"/>
      <c r="D83" s="19" t="n"/>
    </row>
    <row r="84">
      <c r="A84" s="20" t="n"/>
      <c r="B84" s="18" t="n"/>
      <c r="C84" s="18" t="n"/>
      <c r="D84" s="19" t="n"/>
    </row>
    <row r="85">
      <c r="A85" s="20" t="n"/>
      <c r="B85" s="18" t="n"/>
      <c r="C85" s="18" t="n"/>
      <c r="D85" s="19" t="n"/>
    </row>
    <row r="86">
      <c r="A86" s="20" t="n"/>
      <c r="B86" s="18" t="n"/>
      <c r="C86" s="18" t="n"/>
      <c r="D86" s="19" t="n"/>
    </row>
    <row r="87">
      <c r="A87" s="20" t="n"/>
      <c r="B87" s="18" t="n"/>
      <c r="C87" s="18" t="n"/>
      <c r="D87" s="19" t="n"/>
    </row>
    <row r="88">
      <c r="A88" s="20" t="n"/>
      <c r="B88" s="18" t="n"/>
      <c r="C88" s="18" t="n"/>
      <c r="D88" s="19" t="n"/>
    </row>
    <row r="89">
      <c r="A89" s="20" t="n"/>
      <c r="B89" s="18" t="n"/>
      <c r="C89" s="18" t="n"/>
      <c r="D89" s="19" t="n"/>
    </row>
    <row r="90">
      <c r="A90" s="20" t="n"/>
      <c r="B90" s="18" t="n"/>
      <c r="C90" s="18" t="n"/>
      <c r="D90" s="19" t="n"/>
    </row>
    <row r="91">
      <c r="A91" s="20" t="n"/>
      <c r="B91" s="18" t="n"/>
      <c r="C91" s="18" t="n"/>
      <c r="D91" s="19" t="n"/>
    </row>
    <row r="92">
      <c r="A92" s="20" t="n"/>
      <c r="B92" s="18" t="n"/>
      <c r="C92" s="18" t="n"/>
      <c r="D92" s="19" t="n"/>
    </row>
    <row r="93">
      <c r="A93" s="20" t="n"/>
      <c r="B93" s="18" t="n"/>
      <c r="C93" s="18" t="n"/>
      <c r="D93" s="19" t="n"/>
    </row>
    <row r="94">
      <c r="A94" s="20" t="n"/>
      <c r="B94" s="18" t="n"/>
      <c r="C94" s="18" t="n"/>
      <c r="D94" s="19" t="n"/>
    </row>
    <row r="95">
      <c r="A95" s="20" t="n"/>
      <c r="B95" s="18" t="n"/>
      <c r="C95" s="18" t="n"/>
      <c r="D95" s="19" t="n"/>
    </row>
    <row r="96">
      <c r="A96" s="20" t="n"/>
      <c r="B96" s="18" t="n"/>
      <c r="C96" s="18" t="n"/>
      <c r="D96" s="19" t="n"/>
    </row>
    <row r="97">
      <c r="A97" s="20" t="n"/>
      <c r="B97" s="18" t="n"/>
      <c r="C97" s="18" t="n"/>
      <c r="D97" s="19" t="n"/>
    </row>
    <row r="98">
      <c r="A98" s="20" t="n"/>
      <c r="B98" s="18" t="n"/>
      <c r="C98" s="18" t="n"/>
      <c r="D98" s="19" t="n"/>
    </row>
    <row r="99">
      <c r="A99" s="20" t="n"/>
      <c r="B99" s="18" t="n"/>
      <c r="C99" s="18" t="n"/>
      <c r="D99" s="19" t="n"/>
    </row>
    <row r="100">
      <c r="A100" s="20" t="n"/>
      <c r="B100" s="18" t="n"/>
      <c r="C100" s="18" t="n"/>
      <c r="D100" s="19" t="n"/>
    </row>
    <row r="101">
      <c r="A101" s="20" t="n"/>
      <c r="B101" s="18" t="n"/>
      <c r="C101" s="18" t="n"/>
      <c r="D101" s="19" t="n"/>
    </row>
    <row r="102">
      <c r="A102" s="20" t="n"/>
      <c r="B102" s="18" t="n"/>
      <c r="C102" s="18" t="n"/>
      <c r="D102" s="19" t="n"/>
    </row>
    <row r="103">
      <c r="A103" s="20" t="n"/>
      <c r="B103" s="18" t="n"/>
      <c r="C103" s="18" t="n"/>
      <c r="D103" s="19" t="n"/>
    </row>
    <row r="104">
      <c r="A104" s="20" t="n"/>
      <c r="B104" s="18" t="n"/>
      <c r="C104" s="18" t="n"/>
      <c r="D104" s="19" t="n"/>
    </row>
    <row r="105">
      <c r="A105" s="20" t="n"/>
      <c r="B105" s="18" t="n"/>
      <c r="C105" s="18" t="n"/>
      <c r="D105" s="19" t="n"/>
    </row>
    <row r="106">
      <c r="A106" s="20" t="n"/>
      <c r="B106" s="18" t="n"/>
      <c r="C106" s="18" t="n"/>
      <c r="D106" s="19" t="n"/>
    </row>
    <row r="107">
      <c r="A107" s="20" t="n"/>
      <c r="B107" s="18" t="n"/>
      <c r="C107" s="18" t="n"/>
      <c r="D107" s="19" t="n"/>
    </row>
    <row r="108">
      <c r="A108" s="20" t="n"/>
      <c r="B108" s="18" t="n"/>
      <c r="C108" s="18" t="n"/>
      <c r="D108" s="19" t="n"/>
    </row>
    <row r="109">
      <c r="A109" s="20" t="n"/>
      <c r="B109" s="18" t="n"/>
      <c r="C109" s="18" t="n"/>
      <c r="D109" s="19" t="n"/>
    </row>
    <row r="110">
      <c r="A110" s="20" t="n"/>
      <c r="B110" s="18" t="n"/>
      <c r="C110" s="18" t="n"/>
      <c r="D110" s="19" t="n"/>
    </row>
    <row r="111">
      <c r="A111" s="20" t="n"/>
      <c r="B111" s="18" t="n"/>
      <c r="C111" s="18" t="n"/>
      <c r="D111" s="19" t="n"/>
    </row>
    <row r="112">
      <c r="A112" s="20" t="n"/>
      <c r="B112" s="18" t="n"/>
      <c r="C112" s="18" t="n"/>
      <c r="D112" s="19" t="n"/>
    </row>
    <row r="113">
      <c r="A113" s="20" t="n"/>
      <c r="B113" s="18" t="n"/>
      <c r="C113" s="18" t="n"/>
      <c r="D113" s="19" t="n"/>
    </row>
    <row r="114">
      <c r="A114" s="20" t="n"/>
      <c r="B114" s="18" t="n"/>
      <c r="C114" s="18" t="n"/>
      <c r="D114" s="19" t="n"/>
    </row>
    <row r="115">
      <c r="A115" s="20" t="n"/>
      <c r="B115" s="18" t="n"/>
      <c r="C115" s="18" t="n"/>
      <c r="D115" s="19" t="n"/>
    </row>
    <row r="116">
      <c r="A116" s="20" t="n"/>
      <c r="B116" s="18" t="n"/>
      <c r="C116" s="18" t="n"/>
      <c r="D116" s="19" t="n"/>
    </row>
    <row r="117">
      <c r="A117" s="20" t="n"/>
      <c r="B117" s="18" t="n"/>
      <c r="C117" s="18" t="n"/>
      <c r="D117" s="19" t="n"/>
    </row>
    <row r="118">
      <c r="A118" s="20" t="n"/>
      <c r="B118" s="18" t="n"/>
      <c r="C118" s="18" t="n"/>
      <c r="D118" s="19" t="n"/>
    </row>
    <row r="119">
      <c r="A119" s="20" t="n"/>
      <c r="B119" s="18" t="n"/>
      <c r="C119" s="18" t="n"/>
      <c r="D119" s="19" t="n"/>
    </row>
    <row r="120">
      <c r="A120" s="20" t="n"/>
      <c r="B120" s="18" t="n"/>
      <c r="C120" s="18" t="n"/>
      <c r="D120" s="19" t="n"/>
    </row>
    <row r="121">
      <c r="A121" s="20" t="n"/>
      <c r="B121" s="18" t="n"/>
      <c r="C121" s="18" t="n"/>
      <c r="D121" s="19" t="n"/>
    </row>
    <row r="122">
      <c r="A122" s="20" t="n"/>
      <c r="B122" s="18" t="n"/>
      <c r="C122" s="18" t="n"/>
      <c r="D122" s="19" t="n"/>
    </row>
    <row r="123">
      <c r="A123" s="20" t="n"/>
      <c r="B123" s="18" t="n"/>
      <c r="C123" s="18" t="n"/>
      <c r="D123" s="19" t="n"/>
    </row>
    <row r="124">
      <c r="A124" s="20" t="n"/>
      <c r="B124" s="18" t="n"/>
      <c r="C124" s="18" t="n"/>
      <c r="D124" s="19" t="n"/>
    </row>
    <row r="125">
      <c r="A125" s="20" t="n"/>
      <c r="B125" s="18" t="n"/>
      <c r="C125" s="18" t="n"/>
      <c r="D125" s="19" t="n"/>
    </row>
    <row r="126">
      <c r="A126" s="20" t="n"/>
      <c r="B126" s="18" t="n"/>
      <c r="C126" s="18" t="n"/>
      <c r="D126" s="19" t="n"/>
    </row>
    <row r="127">
      <c r="A127" s="20" t="n"/>
      <c r="B127" s="18" t="n"/>
      <c r="C127" s="18" t="n"/>
      <c r="D127" s="19" t="n"/>
    </row>
    <row r="128">
      <c r="A128" s="20" t="n"/>
      <c r="B128" s="18" t="n"/>
      <c r="C128" s="18" t="n"/>
      <c r="D128" s="19" t="n"/>
    </row>
    <row r="129">
      <c r="A129" s="20" t="n"/>
      <c r="B129" s="18" t="n"/>
      <c r="C129" s="18" t="n"/>
      <c r="D129" s="19" t="n"/>
    </row>
    <row r="130">
      <c r="A130" s="20" t="n"/>
      <c r="B130" s="18" t="n"/>
      <c r="C130" s="18" t="n"/>
      <c r="D130" s="19" t="n"/>
    </row>
    <row r="131">
      <c r="A131" s="20" t="n"/>
      <c r="B131" s="18" t="n"/>
      <c r="C131" s="18" t="n"/>
      <c r="D131" s="19" t="n"/>
    </row>
    <row r="132">
      <c r="A132" s="20" t="n"/>
      <c r="B132" s="18" t="n"/>
      <c r="C132" s="18" t="n"/>
      <c r="D132" s="19" t="n"/>
    </row>
    <row r="133">
      <c r="A133" s="20" t="n"/>
      <c r="B133" s="18" t="n"/>
      <c r="C133" s="18" t="n"/>
      <c r="D133" s="19" t="n"/>
    </row>
    <row r="134">
      <c r="A134" s="20" t="n"/>
      <c r="B134" s="18" t="n"/>
      <c r="C134" s="18" t="n"/>
      <c r="D134" s="19" t="n"/>
    </row>
    <row r="135">
      <c r="A135" s="20" t="n"/>
      <c r="B135" s="18" t="n"/>
      <c r="C135" s="18" t="n"/>
      <c r="D135" s="19" t="n"/>
    </row>
    <row r="136">
      <c r="A136" s="20" t="n"/>
      <c r="B136" s="18" t="n"/>
      <c r="C136" s="18" t="n"/>
      <c r="D136" s="19" t="n"/>
    </row>
    <row r="137">
      <c r="A137" s="20" t="n"/>
      <c r="B137" s="18" t="n"/>
      <c r="C137" s="18" t="n"/>
      <c r="D137" s="19" t="n"/>
    </row>
    <row r="138">
      <c r="A138" s="20" t="n"/>
      <c r="B138" s="18" t="n"/>
      <c r="C138" s="18" t="n"/>
      <c r="D138" s="19" t="n"/>
    </row>
    <row r="139">
      <c r="A139" s="20" t="n"/>
      <c r="B139" s="18" t="n"/>
      <c r="C139" s="18" t="n"/>
      <c r="D139" s="19" t="n"/>
    </row>
    <row r="140">
      <c r="A140" s="20" t="n"/>
      <c r="B140" s="18" t="n"/>
      <c r="C140" s="18" t="n"/>
      <c r="D140" s="19" t="n"/>
    </row>
    <row r="141">
      <c r="A141" s="20" t="n"/>
      <c r="B141" s="18" t="n"/>
      <c r="C141" s="18" t="n"/>
      <c r="D141" s="19" t="n"/>
    </row>
    <row r="142">
      <c r="A142" s="20" t="n"/>
      <c r="B142" s="18" t="n"/>
      <c r="C142" s="18" t="n"/>
      <c r="D142" s="19" t="n"/>
    </row>
    <row r="143">
      <c r="A143" s="20" t="n"/>
      <c r="B143" s="18" t="n"/>
      <c r="C143" s="18" t="n"/>
      <c r="D143" s="19" t="n"/>
    </row>
    <row r="144">
      <c r="A144" s="20" t="n"/>
      <c r="B144" s="18" t="n"/>
      <c r="C144" s="18" t="n"/>
      <c r="D144" s="19" t="n"/>
    </row>
    <row r="145">
      <c r="A145" s="20" t="n"/>
      <c r="B145" s="18" t="n"/>
      <c r="C145" s="18" t="n"/>
      <c r="D145" s="19" t="n"/>
    </row>
    <row r="146">
      <c r="A146" s="20" t="n"/>
      <c r="B146" s="18" t="n"/>
      <c r="C146" s="18" t="n"/>
      <c r="D146" s="19" t="n"/>
    </row>
    <row r="147">
      <c r="A147" s="20" t="n"/>
      <c r="B147" s="18" t="n"/>
      <c r="C147" s="18" t="n"/>
      <c r="D147" s="19" t="n"/>
    </row>
    <row r="148">
      <c r="A148" s="20" t="n"/>
      <c r="B148" s="18" t="n"/>
      <c r="C148" s="18" t="n"/>
      <c r="D148" s="19" t="n"/>
    </row>
    <row r="149">
      <c r="A149" s="20" t="n"/>
      <c r="B149" s="18" t="n"/>
      <c r="C149" s="18" t="n"/>
      <c r="D149" s="19" t="n"/>
    </row>
    <row r="150">
      <c r="A150" s="20" t="n"/>
      <c r="B150" s="18" t="n"/>
      <c r="C150" s="18" t="n"/>
      <c r="D150" s="19" t="n"/>
    </row>
    <row r="151">
      <c r="A151" s="20" t="n"/>
      <c r="B151" s="18" t="n"/>
      <c r="C151" s="18" t="n"/>
      <c r="D151" s="19" t="n"/>
    </row>
    <row r="152">
      <c r="A152" s="20" t="n"/>
      <c r="B152" s="18" t="n"/>
      <c r="C152" s="18" t="n"/>
      <c r="D152" s="19" t="n"/>
    </row>
    <row r="153">
      <c r="A153" s="20" t="n"/>
      <c r="B153" s="18" t="n"/>
      <c r="C153" s="18" t="n"/>
      <c r="D153" s="19" t="n"/>
    </row>
    <row r="154">
      <c r="A154" s="20" t="n"/>
      <c r="B154" s="18" t="n"/>
      <c r="C154" s="18" t="n"/>
      <c r="D154" s="19" t="n"/>
    </row>
    <row r="155">
      <c r="A155" s="20" t="n"/>
      <c r="B155" s="18" t="n"/>
      <c r="C155" s="18" t="n"/>
      <c r="D155" s="19" t="n"/>
    </row>
    <row r="156">
      <c r="A156" s="20" t="n"/>
      <c r="B156" s="18" t="n"/>
      <c r="C156" s="18" t="n"/>
      <c r="D156" s="19" t="n"/>
    </row>
    <row r="157">
      <c r="A157" s="20" t="n"/>
      <c r="B157" s="18" t="n"/>
      <c r="C157" s="18" t="n"/>
      <c r="D157" s="19" t="n"/>
    </row>
    <row r="158">
      <c r="A158" s="20" t="n"/>
      <c r="B158" s="18" t="n"/>
      <c r="C158" s="18" t="n"/>
      <c r="D158" s="19" t="n"/>
    </row>
    <row r="159">
      <c r="A159" s="20" t="n"/>
      <c r="B159" s="18" t="n"/>
      <c r="C159" s="18" t="n"/>
      <c r="D159" s="19" t="n"/>
    </row>
    <row r="160">
      <c r="A160" s="20" t="n"/>
      <c r="B160" s="18" t="n"/>
      <c r="C160" s="18" t="n"/>
      <c r="D160" s="19" t="n"/>
    </row>
    <row r="161">
      <c r="A161" s="20" t="n"/>
      <c r="B161" s="18" t="n"/>
      <c r="C161" s="18" t="n"/>
      <c r="D161" s="19" t="n"/>
    </row>
    <row r="162">
      <c r="A162" s="20" t="n"/>
      <c r="B162" s="18" t="n"/>
      <c r="C162" s="18" t="n"/>
      <c r="D162" s="19" t="n"/>
    </row>
    <row r="163">
      <c r="A163" s="20" t="n"/>
      <c r="B163" s="18" t="n"/>
      <c r="C163" s="18" t="n"/>
      <c r="D163" s="19" t="n"/>
    </row>
    <row r="164">
      <c r="A164" s="20" t="n"/>
      <c r="B164" s="18" t="n"/>
      <c r="C164" s="18" t="n"/>
      <c r="D164" s="19" t="n"/>
    </row>
    <row r="165">
      <c r="A165" s="20" t="n"/>
      <c r="B165" s="18" t="n"/>
      <c r="C165" s="18" t="n"/>
      <c r="D165" s="19" t="n"/>
    </row>
    <row r="166">
      <c r="A166" s="20" t="n"/>
      <c r="B166" s="18" t="n"/>
      <c r="C166" s="18" t="n"/>
      <c r="D166" s="19" t="n"/>
    </row>
    <row r="167">
      <c r="A167" s="20" t="n"/>
      <c r="B167" s="18" t="n"/>
      <c r="C167" s="18" t="n"/>
      <c r="D167" s="19" t="n"/>
    </row>
    <row r="168">
      <c r="A168" s="20" t="n"/>
      <c r="B168" s="18" t="n"/>
      <c r="C168" s="18" t="n"/>
      <c r="D168" s="19" t="n"/>
    </row>
    <row r="169">
      <c r="A169" s="20" t="n"/>
      <c r="B169" s="18" t="n"/>
      <c r="C169" s="18" t="n"/>
      <c r="D169" s="19" t="n"/>
    </row>
    <row r="170">
      <c r="A170" s="20" t="n"/>
      <c r="B170" s="18" t="n"/>
      <c r="C170" s="18" t="n"/>
      <c r="D170" s="19" t="n"/>
    </row>
    <row r="171">
      <c r="A171" s="20" t="n"/>
      <c r="B171" s="18" t="n"/>
      <c r="C171" s="18" t="n"/>
      <c r="D171" s="19" t="n"/>
    </row>
    <row r="172">
      <c r="A172" s="20" t="n"/>
      <c r="B172" s="18" t="n"/>
      <c r="C172" s="18" t="n"/>
      <c r="D172" s="19" t="n"/>
    </row>
    <row r="173">
      <c r="A173" s="20" t="n"/>
      <c r="B173" s="18" t="n"/>
      <c r="C173" s="18" t="n"/>
      <c r="D173" s="19" t="n"/>
    </row>
    <row r="174">
      <c r="A174" s="20" t="n"/>
      <c r="B174" s="18" t="n"/>
      <c r="C174" s="18" t="n"/>
      <c r="D174" s="19" t="n"/>
    </row>
    <row r="175">
      <c r="A175" s="20" t="n"/>
      <c r="B175" s="18" t="n"/>
      <c r="C175" s="18" t="n"/>
      <c r="D175" s="19" t="n"/>
    </row>
    <row r="176">
      <c r="A176" s="20" t="n"/>
      <c r="B176" s="18" t="n"/>
      <c r="C176" s="18" t="n"/>
      <c r="D176" s="19" t="n"/>
    </row>
    <row r="177">
      <c r="A177" s="20" t="n"/>
      <c r="B177" s="18" t="n"/>
      <c r="C177" s="18" t="n"/>
      <c r="D177" s="19" t="n"/>
    </row>
    <row r="178">
      <c r="A178" s="20" t="n"/>
      <c r="B178" s="18" t="n"/>
      <c r="C178" s="18" t="n"/>
      <c r="D178" s="19" t="n"/>
    </row>
    <row r="179">
      <c r="A179" s="20" t="n"/>
      <c r="B179" s="18" t="n"/>
      <c r="C179" s="18" t="n"/>
      <c r="D179" s="19" t="n"/>
    </row>
    <row r="180">
      <c r="A180" s="20" t="n"/>
      <c r="B180" s="18" t="n"/>
      <c r="C180" s="18" t="n"/>
      <c r="D180" s="19" t="n"/>
    </row>
    <row r="181">
      <c r="A181" s="20" t="n"/>
      <c r="B181" s="18" t="n"/>
      <c r="C181" s="18" t="n"/>
      <c r="D181" s="19" t="n"/>
    </row>
    <row r="182">
      <c r="A182" s="20" t="n"/>
      <c r="B182" s="18" t="n"/>
      <c r="C182" s="18" t="n"/>
      <c r="D182" s="19" t="n"/>
    </row>
    <row r="183">
      <c r="A183" s="20" t="n"/>
      <c r="B183" s="18" t="n"/>
      <c r="C183" s="18" t="n"/>
      <c r="D183" s="19" t="n"/>
    </row>
    <row r="184">
      <c r="A184" s="20" t="n"/>
      <c r="B184" s="18" t="n"/>
      <c r="C184" s="18" t="n"/>
      <c r="D184" s="19" t="n"/>
    </row>
    <row r="185">
      <c r="A185" s="20" t="n"/>
      <c r="B185" s="18" t="n"/>
      <c r="C185" s="18" t="n"/>
      <c r="D185" s="19" t="n"/>
    </row>
    <row r="186">
      <c r="A186" s="20" t="n"/>
      <c r="B186" s="18" t="n"/>
      <c r="C186" s="18" t="n"/>
      <c r="D186" s="19" t="n"/>
    </row>
    <row r="187">
      <c r="A187" s="20" t="n"/>
      <c r="B187" s="18" t="n"/>
      <c r="C187" s="18" t="n"/>
      <c r="D187" s="19" t="n"/>
    </row>
    <row r="188">
      <c r="A188" s="20" t="n"/>
      <c r="B188" s="18" t="n"/>
      <c r="C188" s="18" t="n"/>
      <c r="D188" s="19" t="n"/>
    </row>
    <row r="189">
      <c r="A189" s="20" t="n"/>
      <c r="B189" s="18" t="n"/>
      <c r="C189" s="18" t="n"/>
      <c r="D189" s="19" t="n"/>
    </row>
    <row r="190">
      <c r="A190" s="20" t="n"/>
      <c r="B190" s="18" t="n"/>
      <c r="C190" s="18" t="n"/>
      <c r="D190" s="19" t="n"/>
    </row>
    <row r="191">
      <c r="A191" s="20" t="n"/>
      <c r="B191" s="18" t="n"/>
      <c r="C191" s="18" t="n"/>
      <c r="D191" s="19" t="n"/>
    </row>
    <row r="192">
      <c r="A192" s="20" t="n"/>
      <c r="B192" s="18" t="n"/>
      <c r="C192" s="18" t="n"/>
      <c r="D192" s="19" t="n"/>
    </row>
    <row r="193">
      <c r="A193" s="20" t="n"/>
      <c r="B193" s="18" t="n"/>
      <c r="C193" s="18" t="n"/>
      <c r="D193" s="19" t="n"/>
    </row>
    <row r="194">
      <c r="A194" s="20" t="n"/>
      <c r="B194" s="18" t="n"/>
      <c r="C194" s="18" t="n"/>
      <c r="D194" s="19" t="n"/>
    </row>
    <row r="195">
      <c r="A195" s="20" t="n"/>
      <c r="B195" s="18" t="n"/>
      <c r="C195" s="18" t="n"/>
      <c r="D195" s="19" t="n"/>
    </row>
    <row r="196">
      <c r="A196" s="20" t="n"/>
      <c r="B196" s="18" t="n"/>
      <c r="C196" s="18" t="n"/>
      <c r="D196" s="19" t="n"/>
    </row>
    <row r="197">
      <c r="A197" s="20" t="n"/>
      <c r="B197" s="18" t="n"/>
      <c r="C197" s="18" t="n"/>
      <c r="D197" s="19" t="n"/>
    </row>
    <row r="198">
      <c r="A198" s="20" t="n"/>
      <c r="B198" s="18" t="n"/>
      <c r="C198" s="18" t="n"/>
      <c r="D198" s="19" t="n"/>
    </row>
    <row r="199">
      <c r="A199" s="20" t="n"/>
      <c r="B199" s="18" t="n"/>
      <c r="C199" s="18" t="n"/>
      <c r="D199" s="19" t="n"/>
    </row>
    <row r="200">
      <c r="A200" s="20" t="n"/>
      <c r="B200" s="18" t="n"/>
      <c r="C200" s="18" t="n"/>
      <c r="D200" s="19" t="n"/>
    </row>
    <row r="201">
      <c r="A201" s="20" t="n"/>
      <c r="B201" s="18" t="n"/>
      <c r="C201" s="18" t="n"/>
      <c r="D201" s="19" t="n"/>
    </row>
  </sheetData>
  <autoFilter ref="A1:D201"/>
  <dataValidations count="1">
    <dataValidation sqref="B2:B201" showDropDown="0" showInputMessage="0" showErrorMessage="0" allowBlank="1" type="list">
      <formula1>"Kuryente,Upa,Tubig,Load/Internet,Delivery/Transport,Supplies,Iba pa"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2026-08-22T11:15:06Z</dcterms:created>
  <dcterms:modified xmlns:dcterms="http://purl.org/dc/terms/" xmlns:xsi="http://www.w3.org/2001/XMLSchema-instance" xsi:type="dcterms:W3CDTF">2026-08-22T11:15:06Z</dcterms:modified>
</cp:coreProperties>
</file>